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rloconan/Documents/IF/dataset/"/>
    </mc:Choice>
  </mc:AlternateContent>
  <xr:revisionPtr revIDLastSave="0" documentId="13_ncr:1_{E8392680-FEC7-FF4A-BD83-A70083C15721}" xr6:coauthVersionLast="47" xr6:coauthVersionMax="47" xr10:uidLastSave="{00000000-0000-0000-0000-000000000000}"/>
  <bookViews>
    <workbookView xWindow="0" yWindow="560" windowWidth="25600" windowHeight="12300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L51" i="1"/>
  <c r="L52" i="1"/>
  <c r="K44" i="1"/>
  <c r="K45" i="1"/>
  <c r="K46" i="1"/>
  <c r="K47" i="1"/>
  <c r="K48" i="1"/>
  <c r="K49" i="1"/>
  <c r="L49" i="1" s="1"/>
  <c r="K50" i="1"/>
  <c r="L50" i="1" s="1"/>
  <c r="K51" i="1"/>
  <c r="K52" i="1"/>
  <c r="K43" i="1"/>
  <c r="I44" i="1"/>
  <c r="I45" i="1"/>
  <c r="L45" i="1" s="1"/>
  <c r="O45" i="1" s="1"/>
  <c r="I46" i="1"/>
  <c r="L46" i="1" s="1"/>
  <c r="O46" i="1" s="1"/>
  <c r="Q44" i="1" s="1"/>
  <c r="I47" i="1"/>
  <c r="L47" i="1" s="1"/>
  <c r="I48" i="1"/>
  <c r="L48" i="1" s="1"/>
  <c r="I49" i="1"/>
  <c r="I50" i="1"/>
  <c r="I51" i="1"/>
  <c r="I52" i="1"/>
  <c r="I43" i="1"/>
  <c r="L43" i="1" s="1"/>
  <c r="F45" i="1"/>
  <c r="F46" i="1"/>
  <c r="F43" i="1"/>
  <c r="E44" i="1"/>
  <c r="F44" i="1" s="1"/>
  <c r="O44" i="1" s="1"/>
  <c r="E45" i="1"/>
  <c r="E46" i="1"/>
  <c r="E47" i="1"/>
  <c r="E48" i="1"/>
  <c r="E49" i="1"/>
  <c r="E50" i="1"/>
  <c r="E51" i="1"/>
  <c r="F51" i="1" s="1"/>
  <c r="O51" i="1" s="1"/>
  <c r="E52" i="1"/>
  <c r="F52" i="1" s="1"/>
  <c r="O52" i="1" s="1"/>
  <c r="Q47" i="1" s="1"/>
  <c r="E43" i="1"/>
  <c r="C44" i="1"/>
  <c r="C45" i="1"/>
  <c r="C46" i="1"/>
  <c r="C47" i="1"/>
  <c r="F47" i="1" s="1"/>
  <c r="O47" i="1" s="1"/>
  <c r="C48" i="1"/>
  <c r="F48" i="1" s="1"/>
  <c r="C49" i="1"/>
  <c r="F49" i="1" s="1"/>
  <c r="O49" i="1" s="1"/>
  <c r="C50" i="1"/>
  <c r="F50" i="1" s="1"/>
  <c r="O50" i="1" s="1"/>
  <c r="Q46" i="1" s="1"/>
  <c r="C51" i="1"/>
  <c r="C52" i="1"/>
  <c r="C43" i="1"/>
  <c r="K155" i="1"/>
  <c r="K156" i="1"/>
  <c r="K157" i="1"/>
  <c r="K158" i="1"/>
  <c r="K159" i="1"/>
  <c r="K160" i="1"/>
  <c r="K161" i="1"/>
  <c r="K162" i="1"/>
  <c r="K163" i="1"/>
  <c r="K164" i="1"/>
  <c r="K165" i="1"/>
  <c r="K154" i="1"/>
  <c r="I155" i="1"/>
  <c r="L155" i="1" s="1"/>
  <c r="I156" i="1"/>
  <c r="L156" i="1" s="1"/>
  <c r="I157" i="1"/>
  <c r="L157" i="1" s="1"/>
  <c r="I158" i="1"/>
  <c r="L158" i="1" s="1"/>
  <c r="I159" i="1"/>
  <c r="L159" i="1" s="1"/>
  <c r="I160" i="1"/>
  <c r="L160" i="1" s="1"/>
  <c r="I161" i="1"/>
  <c r="L161" i="1" s="1"/>
  <c r="I162" i="1"/>
  <c r="L162" i="1" s="1"/>
  <c r="I163" i="1"/>
  <c r="L163" i="1" s="1"/>
  <c r="I164" i="1"/>
  <c r="L164" i="1" s="1"/>
  <c r="I165" i="1"/>
  <c r="L165" i="1" s="1"/>
  <c r="I154" i="1"/>
  <c r="L154" i="1" s="1"/>
  <c r="E159" i="1"/>
  <c r="E158" i="1"/>
  <c r="F154" i="1"/>
  <c r="E155" i="1"/>
  <c r="F155" i="1" s="1"/>
  <c r="E156" i="1"/>
  <c r="E157" i="1"/>
  <c r="E160" i="1"/>
  <c r="E161" i="1"/>
  <c r="E162" i="1"/>
  <c r="F162" i="1" s="1"/>
  <c r="E163" i="1"/>
  <c r="F163" i="1" s="1"/>
  <c r="E164" i="1"/>
  <c r="F164" i="1" s="1"/>
  <c r="E165" i="1"/>
  <c r="F165" i="1" s="1"/>
  <c r="E154" i="1"/>
  <c r="C155" i="1"/>
  <c r="C156" i="1"/>
  <c r="C157" i="1"/>
  <c r="C158" i="1"/>
  <c r="F158" i="1" s="1"/>
  <c r="O158" i="1" s="1"/>
  <c r="C159" i="1"/>
  <c r="F159" i="1" s="1"/>
  <c r="O159" i="1" s="1"/>
  <c r="C160" i="1"/>
  <c r="C161" i="1"/>
  <c r="C162" i="1"/>
  <c r="C163" i="1"/>
  <c r="C164" i="1"/>
  <c r="C165" i="1"/>
  <c r="C154" i="1"/>
  <c r="C170" i="1"/>
  <c r="E170" i="1"/>
  <c r="F170" i="1" s="1"/>
  <c r="N170" i="1" s="1"/>
  <c r="I170" i="1"/>
  <c r="K170" i="1"/>
  <c r="L170" i="1"/>
  <c r="C171" i="1"/>
  <c r="E171" i="1"/>
  <c r="I171" i="1"/>
  <c r="K171" i="1"/>
  <c r="L171" i="1"/>
  <c r="C172" i="1"/>
  <c r="E172" i="1"/>
  <c r="I172" i="1"/>
  <c r="K172" i="1"/>
  <c r="L172" i="1"/>
  <c r="C173" i="1"/>
  <c r="E173" i="1"/>
  <c r="I173" i="1"/>
  <c r="L173" i="1" s="1"/>
  <c r="K173" i="1"/>
  <c r="C174" i="1"/>
  <c r="E174" i="1"/>
  <c r="I174" i="1"/>
  <c r="K174" i="1"/>
  <c r="L174" i="1"/>
  <c r="C175" i="1"/>
  <c r="F175" i="1" s="1"/>
  <c r="N175" i="1" s="1"/>
  <c r="E175" i="1"/>
  <c r="I175" i="1"/>
  <c r="K175" i="1"/>
  <c r="L175" i="1"/>
  <c r="C176" i="1"/>
  <c r="E176" i="1"/>
  <c r="I176" i="1"/>
  <c r="L176" i="1" s="1"/>
  <c r="K176" i="1"/>
  <c r="C177" i="1"/>
  <c r="E177" i="1"/>
  <c r="F177" i="1"/>
  <c r="I177" i="1"/>
  <c r="K177" i="1"/>
  <c r="L177" i="1"/>
  <c r="N177" i="1"/>
  <c r="C178" i="1"/>
  <c r="E178" i="1"/>
  <c r="F178" i="1" s="1"/>
  <c r="I178" i="1"/>
  <c r="K178" i="1"/>
  <c r="L178" i="1"/>
  <c r="C179" i="1"/>
  <c r="E179" i="1"/>
  <c r="I179" i="1"/>
  <c r="L179" i="1" s="1"/>
  <c r="K179" i="1"/>
  <c r="C180" i="1"/>
  <c r="E180" i="1"/>
  <c r="F180" i="1"/>
  <c r="I180" i="1"/>
  <c r="K180" i="1"/>
  <c r="C181" i="1"/>
  <c r="F181" i="1" s="1"/>
  <c r="E181" i="1"/>
  <c r="I181" i="1"/>
  <c r="K181" i="1"/>
  <c r="C182" i="1"/>
  <c r="E182" i="1"/>
  <c r="F182" i="1"/>
  <c r="I182" i="1"/>
  <c r="L182" i="1" s="1"/>
  <c r="K182" i="1"/>
  <c r="N182" i="1" l="1"/>
  <c r="O43" i="1"/>
  <c r="Q43" i="1" s="1"/>
  <c r="O154" i="1"/>
  <c r="O48" i="1"/>
  <c r="Q45" i="1" s="1"/>
  <c r="O165" i="1"/>
  <c r="Q159" i="1" s="1"/>
  <c r="O155" i="1"/>
  <c r="Q154" i="1" s="1"/>
  <c r="O164" i="1"/>
  <c r="F179" i="1"/>
  <c r="F173" i="1"/>
  <c r="N173" i="1" s="1"/>
  <c r="O163" i="1"/>
  <c r="L180" i="1"/>
  <c r="N180" i="1" s="1"/>
  <c r="F176" i="1"/>
  <c r="N176" i="1" s="1"/>
  <c r="O162" i="1"/>
  <c r="F171" i="1"/>
  <c r="N171" i="1" s="1"/>
  <c r="F161" i="1"/>
  <c r="O161" i="1" s="1"/>
  <c r="F174" i="1"/>
  <c r="N174" i="1" s="1"/>
  <c r="F160" i="1"/>
  <c r="O160" i="1" s="1"/>
  <c r="Q157" i="1" s="1"/>
  <c r="L181" i="1"/>
  <c r="N181" i="1" s="1"/>
  <c r="P175" i="1" s="1"/>
  <c r="N178" i="1"/>
  <c r="P173" i="1" s="1"/>
  <c r="F157" i="1"/>
  <c r="O157" i="1" s="1"/>
  <c r="Q155" i="1" s="1"/>
  <c r="F172" i="1"/>
  <c r="N172" i="1" s="1"/>
  <c r="F156" i="1"/>
  <c r="O156" i="1" s="1"/>
  <c r="Q156" i="1"/>
  <c r="P172" i="1"/>
  <c r="P171" i="1"/>
  <c r="N179" i="1"/>
  <c r="P174" i="1" s="1"/>
  <c r="C69" i="1"/>
  <c r="E60" i="1"/>
  <c r="E61" i="1"/>
  <c r="E62" i="1"/>
  <c r="E63" i="1"/>
  <c r="E64" i="1"/>
  <c r="E65" i="1"/>
  <c r="E66" i="1"/>
  <c r="E67" i="1"/>
  <c r="E68" i="1"/>
  <c r="E69" i="1"/>
  <c r="E59" i="1"/>
  <c r="C60" i="1"/>
  <c r="F60" i="1" s="1"/>
  <c r="O60" i="1" s="1"/>
  <c r="C61" i="1"/>
  <c r="F61" i="1" s="1"/>
  <c r="O61" i="1" s="1"/>
  <c r="C62" i="1"/>
  <c r="C63" i="1"/>
  <c r="C64" i="1"/>
  <c r="C65" i="1"/>
  <c r="F65" i="1" s="1"/>
  <c r="C66" i="1"/>
  <c r="F66" i="1" s="1"/>
  <c r="O66" i="1" s="1"/>
  <c r="C67" i="1"/>
  <c r="F67" i="1" s="1"/>
  <c r="O67" i="1" s="1"/>
  <c r="C68" i="1"/>
  <c r="F68" i="1" s="1"/>
  <c r="C59" i="1"/>
  <c r="F59" i="1" s="1"/>
  <c r="K60" i="1"/>
  <c r="K61" i="1"/>
  <c r="K62" i="1"/>
  <c r="K63" i="1"/>
  <c r="K64" i="1"/>
  <c r="K65" i="1"/>
  <c r="K66" i="1"/>
  <c r="K67" i="1"/>
  <c r="K68" i="1"/>
  <c r="K69" i="1"/>
  <c r="K59" i="1"/>
  <c r="I60" i="1"/>
  <c r="L60" i="1" s="1"/>
  <c r="I61" i="1"/>
  <c r="L61" i="1" s="1"/>
  <c r="I62" i="1"/>
  <c r="L62" i="1" s="1"/>
  <c r="I63" i="1"/>
  <c r="I64" i="1"/>
  <c r="I65" i="1"/>
  <c r="I66" i="1"/>
  <c r="L66" i="1" s="1"/>
  <c r="I67" i="1"/>
  <c r="L67" i="1" s="1"/>
  <c r="I68" i="1"/>
  <c r="L68" i="1" s="1"/>
  <c r="I69" i="1"/>
  <c r="L69" i="1" s="1"/>
  <c r="I59" i="1"/>
  <c r="L59" i="1" s="1"/>
  <c r="I82" i="1"/>
  <c r="P170" i="1" l="1"/>
  <c r="Q158" i="1"/>
  <c r="L65" i="1"/>
  <c r="O65" i="1" s="1"/>
  <c r="Q62" i="1" s="1"/>
  <c r="F64" i="1"/>
  <c r="L64" i="1"/>
  <c r="F63" i="1"/>
  <c r="O63" i="1" s="1"/>
  <c r="L63" i="1"/>
  <c r="F62" i="1"/>
  <c r="O62" i="1" s="1"/>
  <c r="F69" i="1"/>
  <c r="O69" i="1" s="1"/>
  <c r="Q60" i="1"/>
  <c r="O59" i="1"/>
  <c r="Q59" i="1" s="1"/>
  <c r="O68" i="1"/>
  <c r="Q63" i="1" s="1"/>
  <c r="K197" i="1"/>
  <c r="E197" i="1"/>
  <c r="I197" i="1"/>
  <c r="C197" i="1"/>
  <c r="E186" i="1"/>
  <c r="E187" i="1"/>
  <c r="E188" i="1"/>
  <c r="E189" i="1"/>
  <c r="E190" i="1"/>
  <c r="E191" i="1"/>
  <c r="E192" i="1"/>
  <c r="E193" i="1"/>
  <c r="F193" i="1" s="1"/>
  <c r="E194" i="1"/>
  <c r="F194" i="1" s="1"/>
  <c r="E195" i="1"/>
  <c r="E196" i="1"/>
  <c r="E185" i="1"/>
  <c r="C186" i="1"/>
  <c r="C187" i="1"/>
  <c r="F187" i="1" s="1"/>
  <c r="C188" i="1"/>
  <c r="F188" i="1" s="1"/>
  <c r="C189" i="1"/>
  <c r="F189" i="1" s="1"/>
  <c r="C190" i="1"/>
  <c r="F190" i="1" s="1"/>
  <c r="C191" i="1"/>
  <c r="F191" i="1" s="1"/>
  <c r="N191" i="1" s="1"/>
  <c r="C192" i="1"/>
  <c r="C193" i="1"/>
  <c r="C194" i="1"/>
  <c r="C195" i="1"/>
  <c r="C196" i="1"/>
  <c r="F196" i="1" s="1"/>
  <c r="C185" i="1"/>
  <c r="L189" i="1"/>
  <c r="I185" i="1"/>
  <c r="K186" i="1"/>
  <c r="K187" i="1"/>
  <c r="K188" i="1"/>
  <c r="K189" i="1"/>
  <c r="K190" i="1"/>
  <c r="K191" i="1"/>
  <c r="K192" i="1"/>
  <c r="K193" i="1"/>
  <c r="K194" i="1"/>
  <c r="K195" i="1"/>
  <c r="K196" i="1"/>
  <c r="K185" i="1"/>
  <c r="L185" i="1" s="1"/>
  <c r="I186" i="1"/>
  <c r="L186" i="1" s="1"/>
  <c r="I187" i="1"/>
  <c r="I188" i="1"/>
  <c r="I189" i="1"/>
  <c r="I190" i="1"/>
  <c r="L190" i="1" s="1"/>
  <c r="I191" i="1"/>
  <c r="L191" i="1" s="1"/>
  <c r="I192" i="1"/>
  <c r="L192" i="1" s="1"/>
  <c r="I193" i="1"/>
  <c r="L193" i="1" s="1"/>
  <c r="I194" i="1"/>
  <c r="L194" i="1" s="1"/>
  <c r="I195" i="1"/>
  <c r="I196" i="1"/>
  <c r="N194" i="1" l="1"/>
  <c r="O64" i="1"/>
  <c r="Q61" i="1" s="1"/>
  <c r="F186" i="1"/>
  <c r="N186" i="1" s="1"/>
  <c r="F195" i="1"/>
  <c r="N195" i="1" s="1"/>
  <c r="L196" i="1"/>
  <c r="N196" i="1" s="1"/>
  <c r="F185" i="1"/>
  <c r="N185" i="1" s="1"/>
  <c r="F197" i="1"/>
  <c r="N190" i="1"/>
  <c r="P187" i="1" s="1"/>
  <c r="N189" i="1"/>
  <c r="L188" i="1"/>
  <c r="L195" i="1"/>
  <c r="L187" i="1"/>
  <c r="N187" i="1" s="1"/>
  <c r="F192" i="1"/>
  <c r="N192" i="1" s="1"/>
  <c r="P188" i="1"/>
  <c r="N193" i="1"/>
  <c r="P189" i="1" s="1"/>
  <c r="N188" i="1"/>
  <c r="L197" i="1"/>
  <c r="E261" i="1"/>
  <c r="E252" i="1"/>
  <c r="E253" i="1"/>
  <c r="E254" i="1"/>
  <c r="E255" i="1"/>
  <c r="E256" i="1"/>
  <c r="E257" i="1"/>
  <c r="E258" i="1"/>
  <c r="E259" i="1"/>
  <c r="E260" i="1"/>
  <c r="E262" i="1"/>
  <c r="E263" i="1"/>
  <c r="E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51" i="1"/>
  <c r="I252" i="1"/>
  <c r="I253" i="1"/>
  <c r="I254" i="1"/>
  <c r="L254" i="1" s="1"/>
  <c r="I255" i="1"/>
  <c r="I256" i="1"/>
  <c r="I257" i="1"/>
  <c r="I258" i="1"/>
  <c r="I259" i="1"/>
  <c r="I260" i="1"/>
  <c r="I261" i="1"/>
  <c r="I262" i="1"/>
  <c r="I263" i="1"/>
  <c r="I251" i="1"/>
  <c r="P185" i="1" l="1"/>
  <c r="P186" i="1"/>
  <c r="N197" i="1"/>
  <c r="F260" i="1"/>
  <c r="F253" i="1"/>
  <c r="P190" i="1"/>
  <c r="F259" i="1"/>
  <c r="L252" i="1"/>
  <c r="L259" i="1"/>
  <c r="L258" i="1"/>
  <c r="F258" i="1"/>
  <c r="N258" i="1" s="1"/>
  <c r="F257" i="1"/>
  <c r="L262" i="1"/>
  <c r="N262" i="1" s="1"/>
  <c r="F256" i="1"/>
  <c r="L261" i="1"/>
  <c r="F255" i="1"/>
  <c r="L260" i="1"/>
  <c r="L253" i="1"/>
  <c r="L255" i="1"/>
  <c r="F251" i="1"/>
  <c r="F254" i="1"/>
  <c r="N254" i="1" s="1"/>
  <c r="F252" i="1"/>
  <c r="F263" i="1"/>
  <c r="L251" i="1"/>
  <c r="F262" i="1"/>
  <c r="L263" i="1"/>
  <c r="L257" i="1"/>
  <c r="L256" i="1"/>
  <c r="F261" i="1"/>
  <c r="N252" i="1" l="1"/>
  <c r="N257" i="1"/>
  <c r="N255" i="1"/>
  <c r="N253" i="1"/>
  <c r="P252" i="1" s="1"/>
  <c r="N260" i="1"/>
  <c r="N259" i="1"/>
  <c r="N261" i="1"/>
  <c r="P256" i="1" s="1"/>
  <c r="P255" i="1"/>
  <c r="N256" i="1"/>
  <c r="N251" i="1"/>
  <c r="P251" i="1" s="1"/>
  <c r="P254" i="1"/>
  <c r="N263" i="1"/>
  <c r="K236" i="1"/>
  <c r="K237" i="1"/>
  <c r="K238" i="1"/>
  <c r="K239" i="1"/>
  <c r="K240" i="1"/>
  <c r="K241" i="1"/>
  <c r="L241" i="1" s="1"/>
  <c r="K242" i="1"/>
  <c r="K243" i="1"/>
  <c r="K244" i="1"/>
  <c r="K245" i="1"/>
  <c r="L245" i="1" s="1"/>
  <c r="K246" i="1"/>
  <c r="K247" i="1"/>
  <c r="K248" i="1"/>
  <c r="K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35" i="1"/>
  <c r="E248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35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17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01" i="1"/>
  <c r="C149" i="1"/>
  <c r="K8" i="1"/>
  <c r="K9" i="1"/>
  <c r="K10" i="1"/>
  <c r="K11" i="1"/>
  <c r="K12" i="1"/>
  <c r="I8" i="1"/>
  <c r="I9" i="1"/>
  <c r="I10" i="1"/>
  <c r="I11" i="1"/>
  <c r="I12" i="1"/>
  <c r="E8" i="1"/>
  <c r="E9" i="1"/>
  <c r="E10" i="1"/>
  <c r="E11" i="1"/>
  <c r="E12" i="1"/>
  <c r="C8" i="1"/>
  <c r="C9" i="1"/>
  <c r="C10" i="1"/>
  <c r="C11" i="1"/>
  <c r="C12" i="1"/>
  <c r="K4" i="1"/>
  <c r="K5" i="1"/>
  <c r="K6" i="1"/>
  <c r="K7" i="1"/>
  <c r="K3" i="1"/>
  <c r="I21" i="1"/>
  <c r="I4" i="1"/>
  <c r="I5" i="1"/>
  <c r="I6" i="1"/>
  <c r="I7" i="1"/>
  <c r="I3" i="1"/>
  <c r="E4" i="1"/>
  <c r="E5" i="1"/>
  <c r="E6" i="1"/>
  <c r="E7" i="1"/>
  <c r="E3" i="1"/>
  <c r="E21" i="1"/>
  <c r="C4" i="1"/>
  <c r="C5" i="1"/>
  <c r="C6" i="1"/>
  <c r="C7" i="1"/>
  <c r="C3" i="1"/>
  <c r="C21" i="1"/>
  <c r="L243" i="1" l="1"/>
  <c r="P253" i="1"/>
  <c r="L240" i="1"/>
  <c r="L231" i="1"/>
  <c r="F229" i="1"/>
  <c r="L227" i="1"/>
  <c r="L202" i="1"/>
  <c r="F12" i="1"/>
  <c r="L211" i="1"/>
  <c r="L3" i="1"/>
  <c r="L244" i="1"/>
  <c r="L210" i="1"/>
  <c r="L209" i="1"/>
  <c r="L12" i="1"/>
  <c r="F201" i="1"/>
  <c r="L208" i="1"/>
  <c r="L218" i="1"/>
  <c r="L201" i="1"/>
  <c r="F238" i="1"/>
  <c r="L212" i="1"/>
  <c r="L236" i="1"/>
  <c r="L223" i="1"/>
  <c r="L242" i="1"/>
  <c r="L8" i="1"/>
  <c r="F212" i="1"/>
  <c r="L206" i="1"/>
  <c r="F221" i="1"/>
  <c r="L219" i="1"/>
  <c r="F236" i="1"/>
  <c r="L248" i="1"/>
  <c r="F211" i="1"/>
  <c r="L205" i="1"/>
  <c r="L247" i="1"/>
  <c r="L204" i="1"/>
  <c r="L246" i="1"/>
  <c r="L217" i="1"/>
  <c r="F235" i="1"/>
  <c r="F224" i="1"/>
  <c r="L235" i="1"/>
  <c r="F7" i="1"/>
  <c r="F248" i="1"/>
  <c r="L230" i="1"/>
  <c r="F244" i="1"/>
  <c r="N244" i="1" s="1"/>
  <c r="L213" i="1"/>
  <c r="F231" i="1"/>
  <c r="F243" i="1"/>
  <c r="N243" i="1" s="1"/>
  <c r="F9" i="1"/>
  <c r="L222" i="1"/>
  <c r="F8" i="1"/>
  <c r="F228" i="1"/>
  <c r="L226" i="1"/>
  <c r="F227" i="1"/>
  <c r="F226" i="1"/>
  <c r="F225" i="1"/>
  <c r="L224" i="1"/>
  <c r="L203" i="1"/>
  <c r="F247" i="1"/>
  <c r="F207" i="1"/>
  <c r="F245" i="1"/>
  <c r="N245" i="1" s="1"/>
  <c r="L220" i="1"/>
  <c r="L6" i="1"/>
  <c r="L5" i="1"/>
  <c r="F217" i="1"/>
  <c r="N217" i="1" s="1"/>
  <c r="F242" i="1"/>
  <c r="F239" i="1"/>
  <c r="F206" i="1"/>
  <c r="F230" i="1"/>
  <c r="F240" i="1"/>
  <c r="N240" i="1" s="1"/>
  <c r="L239" i="1"/>
  <c r="L237" i="1"/>
  <c r="L225" i="1"/>
  <c r="F208" i="1"/>
  <c r="F220" i="1"/>
  <c r="F246" i="1"/>
  <c r="L221" i="1"/>
  <c r="F203" i="1"/>
  <c r="F241" i="1"/>
  <c r="N241" i="1" s="1"/>
  <c r="L238" i="1"/>
  <c r="F6" i="1"/>
  <c r="F5" i="1"/>
  <c r="L11" i="1"/>
  <c r="L229" i="1"/>
  <c r="L10" i="1"/>
  <c r="L228" i="1"/>
  <c r="L9" i="1"/>
  <c r="F213" i="1"/>
  <c r="L207" i="1"/>
  <c r="F237" i="1"/>
  <c r="F205" i="1"/>
  <c r="F204" i="1"/>
  <c r="F11" i="1"/>
  <c r="F202" i="1"/>
  <c r="F10" i="1"/>
  <c r="F222" i="1"/>
  <c r="F218" i="1"/>
  <c r="F3" i="1"/>
  <c r="N3" i="1" s="1"/>
  <c r="F210" i="1"/>
  <c r="F219" i="1"/>
  <c r="L4" i="1"/>
  <c r="F209" i="1"/>
  <c r="F223" i="1"/>
  <c r="F4" i="1"/>
  <c r="F21" i="1"/>
  <c r="L7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34" i="1"/>
  <c r="I135" i="1"/>
  <c r="L135" i="1" s="1"/>
  <c r="I136" i="1"/>
  <c r="I137" i="1"/>
  <c r="I138" i="1"/>
  <c r="I139" i="1"/>
  <c r="L139" i="1" s="1"/>
  <c r="I140" i="1"/>
  <c r="I141" i="1"/>
  <c r="I142" i="1"/>
  <c r="L142" i="1" s="1"/>
  <c r="I143" i="1"/>
  <c r="L143" i="1" s="1"/>
  <c r="I144" i="1"/>
  <c r="L144" i="1" s="1"/>
  <c r="I145" i="1"/>
  <c r="L145" i="1" s="1"/>
  <c r="I146" i="1"/>
  <c r="I147" i="1"/>
  <c r="L147" i="1" s="1"/>
  <c r="I148" i="1"/>
  <c r="L148" i="1" s="1"/>
  <c r="I149" i="1"/>
  <c r="I134" i="1"/>
  <c r="L134" i="1" s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F149" i="1" s="1"/>
  <c r="E134" i="1"/>
  <c r="C135" i="1"/>
  <c r="F135" i="1" s="1"/>
  <c r="O135" i="1" s="1"/>
  <c r="C136" i="1"/>
  <c r="F136" i="1" s="1"/>
  <c r="C137" i="1"/>
  <c r="C138" i="1"/>
  <c r="F138" i="1" s="1"/>
  <c r="C139" i="1"/>
  <c r="F139" i="1" s="1"/>
  <c r="O139" i="1" s="1"/>
  <c r="C140" i="1"/>
  <c r="F140" i="1" s="1"/>
  <c r="C141" i="1"/>
  <c r="C142" i="1"/>
  <c r="F142" i="1" s="1"/>
  <c r="O142" i="1" s="1"/>
  <c r="C143" i="1"/>
  <c r="F143" i="1" s="1"/>
  <c r="O143" i="1" s="1"/>
  <c r="C144" i="1"/>
  <c r="F144" i="1" s="1"/>
  <c r="O144" i="1" s="1"/>
  <c r="C145" i="1"/>
  <c r="F145" i="1" s="1"/>
  <c r="O145" i="1" s="1"/>
  <c r="C146" i="1"/>
  <c r="F146" i="1" s="1"/>
  <c r="C147" i="1"/>
  <c r="F147" i="1" s="1"/>
  <c r="C148" i="1"/>
  <c r="F148" i="1" s="1"/>
  <c r="O148" i="1" s="1"/>
  <c r="C134" i="1"/>
  <c r="I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04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C82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F98" i="1" s="1"/>
  <c r="C99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21" i="1"/>
  <c r="L21" i="1" s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L40" i="1" s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N229" i="1" l="1"/>
  <c r="N246" i="1"/>
  <c r="P240" i="1" s="1"/>
  <c r="N203" i="1"/>
  <c r="N8" i="1"/>
  <c r="P3" i="1" s="1"/>
  <c r="N212" i="1"/>
  <c r="N211" i="1"/>
  <c r="N201" i="1"/>
  <c r="N206" i="1"/>
  <c r="N9" i="1"/>
  <c r="N209" i="1"/>
  <c r="N227" i="1"/>
  <c r="L137" i="1"/>
  <c r="N202" i="1"/>
  <c r="P201" i="1" s="1"/>
  <c r="N231" i="1"/>
  <c r="N236" i="1"/>
  <c r="N12" i="1"/>
  <c r="F137" i="1"/>
  <c r="N204" i="1"/>
  <c r="L141" i="1"/>
  <c r="N248" i="1"/>
  <c r="N242" i="1"/>
  <c r="P238" i="1" s="1"/>
  <c r="F108" i="1"/>
  <c r="N205" i="1"/>
  <c r="N225" i="1"/>
  <c r="N224" i="1"/>
  <c r="N218" i="1"/>
  <c r="P217" i="1" s="1"/>
  <c r="N235" i="1"/>
  <c r="N213" i="1"/>
  <c r="L32" i="1"/>
  <c r="N208" i="1"/>
  <c r="P204" i="1" s="1"/>
  <c r="N223" i="1"/>
  <c r="P220" i="1" s="1"/>
  <c r="N10" i="1"/>
  <c r="N228" i="1"/>
  <c r="N210" i="1"/>
  <c r="N238" i="1"/>
  <c r="N230" i="1"/>
  <c r="P223" i="1" s="1"/>
  <c r="N221" i="1"/>
  <c r="F91" i="1"/>
  <c r="N220" i="1"/>
  <c r="N226" i="1"/>
  <c r="P221" i="1" s="1"/>
  <c r="L140" i="1"/>
  <c r="O140" i="1" s="1"/>
  <c r="N219" i="1"/>
  <c r="N207" i="1"/>
  <c r="F99" i="1"/>
  <c r="F83" i="1"/>
  <c r="N7" i="1"/>
  <c r="N6" i="1"/>
  <c r="N247" i="1"/>
  <c r="N237" i="1"/>
  <c r="N222" i="1"/>
  <c r="F141" i="1"/>
  <c r="P239" i="1"/>
  <c r="L91" i="1"/>
  <c r="F85" i="1"/>
  <c r="N5" i="1"/>
  <c r="N4" i="1"/>
  <c r="P4" i="1" s="1"/>
  <c r="L99" i="1"/>
  <c r="L83" i="1"/>
  <c r="Q136" i="1"/>
  <c r="N11" i="1"/>
  <c r="N239" i="1"/>
  <c r="P237" i="1" s="1"/>
  <c r="F93" i="1"/>
  <c r="L149" i="1"/>
  <c r="O149" i="1" s="1"/>
  <c r="F95" i="1"/>
  <c r="L31" i="1"/>
  <c r="L30" i="1"/>
  <c r="F87" i="1"/>
  <c r="F117" i="1"/>
  <c r="F92" i="1"/>
  <c r="F84" i="1"/>
  <c r="L98" i="1"/>
  <c r="O98" i="1" s="1"/>
  <c r="L90" i="1"/>
  <c r="O21" i="1"/>
  <c r="F134" i="1"/>
  <c r="O134" i="1" s="1"/>
  <c r="F127" i="1"/>
  <c r="F119" i="1"/>
  <c r="F111" i="1"/>
  <c r="L128" i="1"/>
  <c r="L120" i="1"/>
  <c r="L112" i="1"/>
  <c r="L82" i="1"/>
  <c r="L92" i="1"/>
  <c r="L84" i="1"/>
  <c r="F126" i="1"/>
  <c r="F110" i="1"/>
  <c r="L127" i="1"/>
  <c r="L119" i="1"/>
  <c r="L111" i="1"/>
  <c r="F128" i="1"/>
  <c r="F120" i="1"/>
  <c r="F112" i="1"/>
  <c r="L129" i="1"/>
  <c r="L121" i="1"/>
  <c r="L113" i="1"/>
  <c r="L105" i="1"/>
  <c r="F115" i="1"/>
  <c r="F107" i="1"/>
  <c r="L25" i="1"/>
  <c r="F124" i="1"/>
  <c r="O147" i="1"/>
  <c r="L37" i="1"/>
  <c r="L89" i="1"/>
  <c r="L33" i="1"/>
  <c r="L29" i="1"/>
  <c r="L39" i="1"/>
  <c r="L97" i="1"/>
  <c r="F90" i="1"/>
  <c r="L96" i="1"/>
  <c r="L88" i="1"/>
  <c r="L125" i="1"/>
  <c r="L117" i="1"/>
  <c r="L109" i="1"/>
  <c r="L138" i="1"/>
  <c r="O138" i="1" s="1"/>
  <c r="F27" i="1"/>
  <c r="L35" i="1"/>
  <c r="L27" i="1"/>
  <c r="L23" i="1"/>
  <c r="L95" i="1"/>
  <c r="L87" i="1"/>
  <c r="L136" i="1"/>
  <c r="O136" i="1" s="1"/>
  <c r="F26" i="1"/>
  <c r="L34" i="1"/>
  <c r="L26" i="1"/>
  <c r="L38" i="1"/>
  <c r="L22" i="1"/>
  <c r="F94" i="1"/>
  <c r="F86" i="1"/>
  <c r="L146" i="1"/>
  <c r="O146" i="1" s="1"/>
  <c r="Q137" i="1" s="1"/>
  <c r="F38" i="1"/>
  <c r="F30" i="1"/>
  <c r="O30" i="1" s="1"/>
  <c r="F22" i="1"/>
  <c r="F34" i="1"/>
  <c r="F123" i="1"/>
  <c r="L124" i="1"/>
  <c r="L116" i="1"/>
  <c r="L108" i="1"/>
  <c r="F118" i="1"/>
  <c r="F37" i="1"/>
  <c r="F29" i="1"/>
  <c r="F33" i="1"/>
  <c r="F25" i="1"/>
  <c r="L94" i="1"/>
  <c r="L86" i="1"/>
  <c r="F122" i="1"/>
  <c r="F106" i="1"/>
  <c r="L123" i="1"/>
  <c r="L115" i="1"/>
  <c r="L107" i="1"/>
  <c r="F125" i="1"/>
  <c r="F109" i="1"/>
  <c r="L126" i="1"/>
  <c r="L118" i="1"/>
  <c r="L110" i="1"/>
  <c r="F36" i="1"/>
  <c r="F28" i="1"/>
  <c r="F40" i="1"/>
  <c r="F32" i="1"/>
  <c r="F24" i="1"/>
  <c r="F96" i="1"/>
  <c r="F88" i="1"/>
  <c r="F97" i="1"/>
  <c r="F89" i="1"/>
  <c r="L93" i="1"/>
  <c r="L85" i="1"/>
  <c r="F129" i="1"/>
  <c r="F121" i="1"/>
  <c r="F113" i="1"/>
  <c r="F105" i="1"/>
  <c r="L122" i="1"/>
  <c r="L114" i="1"/>
  <c r="L106" i="1"/>
  <c r="F116" i="1"/>
  <c r="F39" i="1"/>
  <c r="F31" i="1"/>
  <c r="F23" i="1"/>
  <c r="F35" i="1"/>
  <c r="L24" i="1"/>
  <c r="L36" i="1"/>
  <c r="F82" i="1"/>
  <c r="O82" i="1" s="1"/>
  <c r="F104" i="1"/>
  <c r="L104" i="1"/>
  <c r="L28" i="1"/>
  <c r="F114" i="1"/>
  <c r="P6" i="1" l="1"/>
  <c r="P206" i="1"/>
  <c r="P203" i="1"/>
  <c r="P219" i="1"/>
  <c r="P205" i="1"/>
  <c r="O89" i="1"/>
  <c r="Q108" i="1"/>
  <c r="P222" i="1"/>
  <c r="P241" i="1"/>
  <c r="Q134" i="1"/>
  <c r="P218" i="1"/>
  <c r="P202" i="1"/>
  <c r="O91" i="1"/>
  <c r="O83" i="1"/>
  <c r="O137" i="1"/>
  <c r="P235" i="1"/>
  <c r="O141" i="1"/>
  <c r="O87" i="1"/>
  <c r="O99" i="1"/>
  <c r="O32" i="1"/>
  <c r="O85" i="1"/>
  <c r="O88" i="1"/>
  <c r="O31" i="1"/>
  <c r="P5" i="1"/>
  <c r="O93" i="1"/>
  <c r="O38" i="1"/>
  <c r="O84" i="1"/>
  <c r="O94" i="1"/>
  <c r="Q117" i="1"/>
  <c r="O92" i="1"/>
  <c r="O24" i="1"/>
  <c r="Q135" i="1"/>
  <c r="Q115" i="1"/>
  <c r="Q122" i="1"/>
  <c r="Q110" i="1"/>
  <c r="Q118" i="1"/>
  <c r="Q119" i="1"/>
  <c r="Q127" i="1"/>
  <c r="S109" i="1" s="1"/>
  <c r="Q111" i="1"/>
  <c r="S105" i="1" s="1"/>
  <c r="O95" i="1"/>
  <c r="Q120" i="1"/>
  <c r="Q121" i="1"/>
  <c r="Q128" i="1"/>
  <c r="Q112" i="1"/>
  <c r="O90" i="1"/>
  <c r="Q126" i="1"/>
  <c r="Q129" i="1"/>
  <c r="O25" i="1"/>
  <c r="Q116" i="1"/>
  <c r="O33" i="1"/>
  <c r="Q124" i="1"/>
  <c r="Q125" i="1"/>
  <c r="Q107" i="1"/>
  <c r="O35" i="1"/>
  <c r="O29" i="1"/>
  <c r="O86" i="1"/>
  <c r="O34" i="1"/>
  <c r="O36" i="1"/>
  <c r="O37" i="1"/>
  <c r="O97" i="1"/>
  <c r="O39" i="1"/>
  <c r="Q105" i="1"/>
  <c r="Q106" i="1"/>
  <c r="Q113" i="1"/>
  <c r="O96" i="1"/>
  <c r="Q86" i="1" s="1"/>
  <c r="O40" i="1"/>
  <c r="Q109" i="1"/>
  <c r="O23" i="1"/>
  <c r="O28" i="1"/>
  <c r="O22" i="1"/>
  <c r="O26" i="1"/>
  <c r="O27" i="1"/>
  <c r="Q114" i="1"/>
  <c r="Q123" i="1"/>
  <c r="Q104" i="1"/>
  <c r="Q84" i="1" l="1"/>
  <c r="Q83" i="1"/>
  <c r="Q85" i="1"/>
  <c r="S108" i="1"/>
  <c r="S104" i="1"/>
  <c r="S107" i="1"/>
  <c r="S106" i="1"/>
</calcChain>
</file>

<file path=xl/sharedStrings.xml><?xml version="1.0" encoding="utf-8"?>
<sst xmlns="http://schemas.openxmlformats.org/spreadsheetml/2006/main" count="729" uniqueCount="177">
  <si>
    <t>Sample ID</t>
  </si>
  <si>
    <t>LC3-II</t>
  </si>
  <si>
    <t>IF-004</t>
  </si>
  <si>
    <t>Background</t>
  </si>
  <si>
    <t>Background inverted</t>
  </si>
  <si>
    <t>Net LC-11</t>
  </si>
  <si>
    <t>LC3-II Inverted</t>
  </si>
  <si>
    <t>GAPDH</t>
  </si>
  <si>
    <t>GAPDH inverted</t>
  </si>
  <si>
    <t>Net GAPDH</t>
  </si>
  <si>
    <t>IF-006</t>
  </si>
  <si>
    <t>IF-009</t>
  </si>
  <si>
    <t xml:space="preserve">IF010 </t>
  </si>
  <si>
    <t>LCII:GAPDH</t>
  </si>
  <si>
    <t>LC3II:GAPDH</t>
  </si>
  <si>
    <t>IF009_Day1_NT</t>
  </si>
  <si>
    <t>IF009_Day1_Rap</t>
  </si>
  <si>
    <t>IF009_Day1_HCQ</t>
  </si>
  <si>
    <t>IF009_Day1_RapHCQ</t>
  </si>
  <si>
    <t>IF009_Day30_NT</t>
  </si>
  <si>
    <t>IF009_Day30_Rap</t>
  </si>
  <si>
    <t>IF009_Day30_HCQ</t>
  </si>
  <si>
    <t>IF009_Day30_RapHCQ</t>
  </si>
  <si>
    <t>IF009_Day60_NT</t>
  </si>
  <si>
    <t>IF009_Day60_Rap</t>
  </si>
  <si>
    <t>IF009_Day60_HCQ</t>
  </si>
  <si>
    <t>IF009_Day60_RapHCQ</t>
  </si>
  <si>
    <t>IF009_Day90_NT</t>
  </si>
  <si>
    <t>IF009_Day90_Rap</t>
  </si>
  <si>
    <t>IF009_Day90_HCQ</t>
  </si>
  <si>
    <t>IF009_Day90_RapHCQ</t>
  </si>
  <si>
    <t>IF009_1moPost_NT</t>
  </si>
  <si>
    <t>IF009_1moPost_Rap</t>
  </si>
  <si>
    <t>IF009_1moPost_HCQ</t>
  </si>
  <si>
    <t>IF009_1moPost_RapHCQ</t>
  </si>
  <si>
    <t>IF009_2moPost_NT</t>
  </si>
  <si>
    <t>IF009_2mopost_Rap</t>
  </si>
  <si>
    <t>IF009_2moPost_HCQ</t>
  </si>
  <si>
    <t>IF009_2moPost_RapHCQ</t>
  </si>
  <si>
    <t>IF009_3moPost_NT</t>
  </si>
  <si>
    <t>Healthy_ctrl_HCQ</t>
  </si>
  <si>
    <t>Sample</t>
  </si>
  <si>
    <t>Samples</t>
  </si>
  <si>
    <t>IF004_Day1_NT</t>
  </si>
  <si>
    <t>IF004_Day1_Rap</t>
  </si>
  <si>
    <t>IF004_Day1_HCQ</t>
  </si>
  <si>
    <t>IF004_Day1_RapHCQ</t>
  </si>
  <si>
    <t>IF004_Day30_NT</t>
  </si>
  <si>
    <t>IF004_Day30_Rap</t>
  </si>
  <si>
    <t>IF004_Day30_HCQ</t>
  </si>
  <si>
    <t>IF004_Day30_RapHCQ</t>
  </si>
  <si>
    <t>IF004_Day60_NT</t>
  </si>
  <si>
    <t>IF004_Day60_Rap</t>
  </si>
  <si>
    <t>IF004_Day60_HCQ</t>
  </si>
  <si>
    <t>IF004_Day60_RapHCQ</t>
  </si>
  <si>
    <t>IF004_Day90_NT</t>
  </si>
  <si>
    <t>IF004_Day90_Rap</t>
  </si>
  <si>
    <t>IF004_Day90_HCQ</t>
  </si>
  <si>
    <t>IF004_Day90_RapHCQ</t>
  </si>
  <si>
    <t>IF004_1moPost_NT</t>
  </si>
  <si>
    <t>IF004_1moPost_Rap</t>
  </si>
  <si>
    <t>IF004_1moPost_HCQ</t>
  </si>
  <si>
    <t>IF004_1moPost_RapHCQ</t>
  </si>
  <si>
    <t>IF006_Day1_NT</t>
  </si>
  <si>
    <t>IF006_Day30_NT</t>
  </si>
  <si>
    <t>IF006_Day30_Rap</t>
  </si>
  <si>
    <t>IF006_Day30_HCQ</t>
  </si>
  <si>
    <t>IF006_Day30_RapHCQ</t>
  </si>
  <si>
    <t>IF006_Day60_NT</t>
  </si>
  <si>
    <t>IF006_Day60_Rap</t>
  </si>
  <si>
    <t>IF006_Day60_HCQ</t>
  </si>
  <si>
    <t>IF006_Day60_RapHCQ</t>
  </si>
  <si>
    <t>IF006_Day90_NT</t>
  </si>
  <si>
    <t>IF006_Day90_Rap</t>
  </si>
  <si>
    <t>IF006_Day90_HCQ</t>
  </si>
  <si>
    <t>IF006_Day90_RapHCQ</t>
  </si>
  <si>
    <t>HCQ_healthy_pos_ctrl</t>
  </si>
  <si>
    <t>IF006_1moPost_NT</t>
  </si>
  <si>
    <t>IF006_1moPost_Rap</t>
  </si>
  <si>
    <t>IF006_1moPost_HCQ</t>
  </si>
  <si>
    <t>IF006_1moPost_RapHCQ</t>
  </si>
  <si>
    <t>IF010_Day1_NT</t>
  </si>
  <si>
    <t>IF010_Day1_Rap</t>
  </si>
  <si>
    <t>IF010_Day1_HCQ</t>
  </si>
  <si>
    <t>IF010_Day1_RapHCQ</t>
  </si>
  <si>
    <t>IF010_Day30_NT</t>
  </si>
  <si>
    <t>IF010_Day30_Rap</t>
  </si>
  <si>
    <t>IF010_Day30_HCQ</t>
  </si>
  <si>
    <t>IF010_Day30_RapHCQ</t>
  </si>
  <si>
    <t>IF010_Day60_NT</t>
  </si>
  <si>
    <t>IF010_Day60_Rap</t>
  </si>
  <si>
    <t>IF010_Day60_HCQ</t>
  </si>
  <si>
    <t>IF010_Day60_RapHCQ</t>
  </si>
  <si>
    <t>IF010_Day90_NT</t>
  </si>
  <si>
    <t>IF010_Day90_Rap</t>
  </si>
  <si>
    <t>IF010_Day90_HCQ</t>
  </si>
  <si>
    <t>IF010_Day90_RapHCQ</t>
  </si>
  <si>
    <t>Day1_NT</t>
  </si>
  <si>
    <t>Day1_Rap</t>
  </si>
  <si>
    <t>Day1_HCQ</t>
  </si>
  <si>
    <t>Day1_RapHCQ</t>
  </si>
  <si>
    <t>Day30_NT</t>
  </si>
  <si>
    <t>Day30_Rap</t>
  </si>
  <si>
    <t>Day30_HCQ</t>
  </si>
  <si>
    <t>Day30_RapHCQ</t>
  </si>
  <si>
    <t>Day60_NT</t>
  </si>
  <si>
    <t>Day60_Rap</t>
  </si>
  <si>
    <t>Day60_HCQ</t>
  </si>
  <si>
    <t>Day60_RapHCQ</t>
  </si>
  <si>
    <t>Day90_NT</t>
  </si>
  <si>
    <t>Day90_Rap</t>
  </si>
  <si>
    <t>Day90_HCQ</t>
  </si>
  <si>
    <t>Day90_RapHCQ</t>
  </si>
  <si>
    <t>1moPost_NT</t>
  </si>
  <si>
    <t>1moPost_Rap</t>
  </si>
  <si>
    <t>1moPost_HCQ</t>
  </si>
  <si>
    <t>1moPost_RapHCQ</t>
  </si>
  <si>
    <t xml:space="preserve">Background </t>
  </si>
  <si>
    <t xml:space="preserve">Background Inverted </t>
  </si>
  <si>
    <t>Net LC-II</t>
  </si>
  <si>
    <t>Net LC3-II</t>
  </si>
  <si>
    <t>GAPDH Inverted</t>
  </si>
  <si>
    <t>Background Inverted</t>
  </si>
  <si>
    <t xml:space="preserve">Net GAPDH </t>
  </si>
  <si>
    <t xml:space="preserve">IF-002 </t>
  </si>
  <si>
    <t>Day_1_HCQ</t>
  </si>
  <si>
    <t>Day_30_HCQ</t>
  </si>
  <si>
    <t>Day_60_HCQ</t>
  </si>
  <si>
    <t>Day_90_HCQ</t>
  </si>
  <si>
    <t>1mo_Post_HCQ</t>
  </si>
  <si>
    <t>Day_1_NT</t>
  </si>
  <si>
    <t>Day_30_NT</t>
  </si>
  <si>
    <t>Day_60_NT</t>
  </si>
  <si>
    <t>Day_90_NT</t>
  </si>
  <si>
    <t>1mo_Post_NT</t>
  </si>
  <si>
    <t>HCQ _pos_ctrl</t>
  </si>
  <si>
    <t>Day120_NT</t>
  </si>
  <si>
    <t>Day120_HCQ</t>
  </si>
  <si>
    <t>Day150_NT</t>
  </si>
  <si>
    <t>Day150_HCQ</t>
  </si>
  <si>
    <t>Day180_NT</t>
  </si>
  <si>
    <t>Day180_HCQ</t>
  </si>
  <si>
    <t>IF-017</t>
  </si>
  <si>
    <t>IF-019</t>
  </si>
  <si>
    <t>IF-020</t>
  </si>
  <si>
    <t>IF-021</t>
  </si>
  <si>
    <t>Day 1</t>
  </si>
  <si>
    <t>Day 30</t>
  </si>
  <si>
    <t>Day 60</t>
  </si>
  <si>
    <t>Day 90</t>
  </si>
  <si>
    <t>Day 120</t>
  </si>
  <si>
    <t>Day 150</t>
  </si>
  <si>
    <t>Day 180</t>
  </si>
  <si>
    <t>NET LC3-II</t>
  </si>
  <si>
    <t>1 mo Post</t>
  </si>
  <si>
    <t xml:space="preserve">NET LC3-II </t>
  </si>
  <si>
    <t>-</t>
  </si>
  <si>
    <t xml:space="preserve">Day 1 </t>
  </si>
  <si>
    <t>2 mo Post</t>
  </si>
  <si>
    <t xml:space="preserve"> Day 180</t>
  </si>
  <si>
    <t>IF-022</t>
  </si>
  <si>
    <t>NET ∆ LC3-II</t>
  </si>
  <si>
    <t>IF-018</t>
  </si>
  <si>
    <t>HCQ_pos_ctrl</t>
  </si>
  <si>
    <t>IF-005</t>
  </si>
  <si>
    <t>Post_NT</t>
  </si>
  <si>
    <t>Post_HCQ</t>
  </si>
  <si>
    <t>Post</t>
  </si>
  <si>
    <t>1mo_NT</t>
  </si>
  <si>
    <t>1mo_HCQ</t>
  </si>
  <si>
    <t>2mo_NT</t>
  </si>
  <si>
    <t>2mo_HCQ</t>
  </si>
  <si>
    <t>LC3-II:GAPDH</t>
  </si>
  <si>
    <t>1mo Post</t>
  </si>
  <si>
    <t>IF-013</t>
  </si>
  <si>
    <t>1 mo. Post</t>
  </si>
  <si>
    <t>IF-004 - Rerun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</si>
</sst>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1" xfId="0" applyBorder="1"/>
    <xf numFmtId="2" fontId="1" fillId="0" borderId="0" xfId="0" applyNumberFormat="1" applyFont="1"/>
    <xf numFmtId="0" fontId="2" fillId="0" borderId="0" xfId="0" applyFont="1"/>
    <xf numFmtId="0" fontId="0" fillId="2" borderId="1" xfId="0" applyFill="1" applyBorder="1"/>
    <xf numFmtId="2" fontId="0" fillId="2" borderId="2" xfId="0" applyNumberFormat="1" applyFill="1" applyBorder="1"/>
    <xf numFmtId="2" fontId="0" fillId="0" borderId="2" xfId="0" applyNumberFormat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3" xfId="0" applyBorder="1"/>
    <xf numFmtId="2" fontId="0" fillId="0" borderId="4" xfId="0" applyNumberFormat="1" applyBorder="1"/>
    <xf numFmtId="0" fontId="1" fillId="3" borderId="0" xfId="0" applyFont="1" applyFill="1"/>
    <xf numFmtId="2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16"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2" formatCode="0.00"/>
    </dxf>
    <dxf>
      <fill>
        <patternFill patternType="none"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colors>
    <mruColors>
      <color rgb="FFCF3E46"/>
      <color rgb="FF00BBA7"/>
      <color rgb="FF009B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IF-004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Sheet3!$C$2</c:f>
              <c:strCache>
                <c:ptCount val="1"/>
                <c:pt idx="0">
                  <c:v>LCII:GAPDH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Sheet3!$B$3:$B$22</c:f>
              <c:strCache>
                <c:ptCount val="20"/>
                <c:pt idx="0">
                  <c:v>Day1_NT</c:v>
                </c:pt>
                <c:pt idx="1">
                  <c:v>Day1_Rap</c:v>
                </c:pt>
                <c:pt idx="2">
                  <c:v>Day1_HCQ</c:v>
                </c:pt>
                <c:pt idx="3">
                  <c:v>Day1_RapHCQ</c:v>
                </c:pt>
                <c:pt idx="4">
                  <c:v>Day30_NT</c:v>
                </c:pt>
                <c:pt idx="5">
                  <c:v>Day30_Rap</c:v>
                </c:pt>
                <c:pt idx="6">
                  <c:v>Day30_HCQ</c:v>
                </c:pt>
                <c:pt idx="7">
                  <c:v>Day30_RapHCQ</c:v>
                </c:pt>
                <c:pt idx="8">
                  <c:v>Day60_NT</c:v>
                </c:pt>
                <c:pt idx="9">
                  <c:v>Day60_Rap</c:v>
                </c:pt>
                <c:pt idx="10">
                  <c:v>Day60_HCQ</c:v>
                </c:pt>
                <c:pt idx="11">
                  <c:v>Day60_RapHCQ</c:v>
                </c:pt>
                <c:pt idx="12">
                  <c:v>Day90_NT</c:v>
                </c:pt>
                <c:pt idx="13">
                  <c:v>Day90_Rap</c:v>
                </c:pt>
                <c:pt idx="14">
                  <c:v>Day90_HCQ</c:v>
                </c:pt>
                <c:pt idx="15">
                  <c:v>Day90_RapHCQ</c:v>
                </c:pt>
                <c:pt idx="16">
                  <c:v>1moPost_NT</c:v>
                </c:pt>
                <c:pt idx="17">
                  <c:v>1moPost_Rap</c:v>
                </c:pt>
                <c:pt idx="18">
                  <c:v>1moPost_HCQ</c:v>
                </c:pt>
                <c:pt idx="19">
                  <c:v>1moPost_RapHCQ</c:v>
                </c:pt>
              </c:strCache>
            </c:strRef>
          </c:cat>
          <c:val>
            <c:numRef>
              <c:f>Sheet3!$C$3:$C$22</c:f>
              <c:numCache>
                <c:formatCode>0.00</c:formatCode>
                <c:ptCount val="20"/>
                <c:pt idx="0">
                  <c:v>1.7697524307541897E-2</c:v>
                </c:pt>
                <c:pt idx="1">
                  <c:v>0.34290814670561465</c:v>
                </c:pt>
                <c:pt idx="2">
                  <c:v>2.252629814341395</c:v>
                </c:pt>
                <c:pt idx="3">
                  <c:v>1.3960609911054636</c:v>
                </c:pt>
                <c:pt idx="4">
                  <c:v>0.13038576145606826</c:v>
                </c:pt>
                <c:pt idx="5">
                  <c:v>0.2228346456692924</c:v>
                </c:pt>
                <c:pt idx="6">
                  <c:v>1.4216101694915253</c:v>
                </c:pt>
                <c:pt idx="7">
                  <c:v>13.888268156424367</c:v>
                </c:pt>
                <c:pt idx="8">
                  <c:v>0.22529384726508733</c:v>
                </c:pt>
                <c:pt idx="9">
                  <c:v>0.34420848127554021</c:v>
                </c:pt>
                <c:pt idx="10">
                  <c:v>1.1442783478306151</c:v>
                </c:pt>
                <c:pt idx="11">
                  <c:v>0.84109160358038648</c:v>
                </c:pt>
                <c:pt idx="12">
                  <c:v>7.4948472924822671E-4</c:v>
                </c:pt>
                <c:pt idx="13">
                  <c:v>0.10737937559129533</c:v>
                </c:pt>
                <c:pt idx="14">
                  <c:v>0.38250950570342213</c:v>
                </c:pt>
                <c:pt idx="15">
                  <c:v>0.56027293404094058</c:v>
                </c:pt>
                <c:pt idx="16">
                  <c:v>0.64281549354435552</c:v>
                </c:pt>
                <c:pt idx="17">
                  <c:v>0.23414942452265361</c:v>
                </c:pt>
                <c:pt idx="18">
                  <c:v>3.6438141639115975</c:v>
                </c:pt>
                <c:pt idx="19">
                  <c:v>3.0686219214138069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C-43EA-A588-1A2A5C6ED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942880"/>
        <c:axId val="1574943712"/>
      </c:barChart>
      <c:catAx>
        <c:axId val="157494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943712"/>
        <c:crosses val="autoZero"/>
        <c:auto val="1"/>
        <c:lblAlgn val="ctr"/>
        <c:lblOffset val="100"/>
        <c:noMultiLvlLbl val="0"/>
      </c:catAx>
      <c:valAx>
        <c:axId val="15749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baseline="0">
                    <a:effectLst/>
                  </a:rPr>
                  <a:t>LCII:GAPDH</a:t>
                </a:r>
                <a:endParaRPr lang="en-CA" sz="5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94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IF study</a:t>
            </a:r>
            <a:r>
              <a:rPr lang="en-US" baseline="0"/>
              <a:t> Autophagy Flux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850831146106736E-2"/>
          <c:y val="0.19486111111111112"/>
          <c:w val="0.86290901137357834"/>
          <c:h val="0.480733085447652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Sheet2!$D$99</c:f>
              <c:strCache>
                <c:ptCount val="1"/>
                <c:pt idx="0">
                  <c:v>LC3II:GAPDH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341-0A41-82EF-6E5C5E273F32}"/>
              </c:ext>
            </c:extLst>
          </c:dPt>
          <c:dPt>
            <c:idx val="5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41-0A41-82EF-6E5C5E273F32}"/>
              </c:ext>
            </c:extLst>
          </c:dPt>
          <c:dPt>
            <c:idx val="6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41-0A41-82EF-6E5C5E273F32}"/>
              </c:ext>
            </c:extLst>
          </c:dPt>
          <c:dPt>
            <c:idx val="7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41-0A41-82EF-6E5C5E273F32}"/>
              </c:ext>
            </c:extLst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341-0A41-82EF-6E5C5E273F32}"/>
              </c:ext>
            </c:extLst>
          </c:dPt>
          <c:dPt>
            <c:idx val="9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341-0A41-82EF-6E5C5E273F32}"/>
              </c:ext>
            </c:extLst>
          </c:dPt>
          <c:dPt>
            <c:idx val="1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341-0A41-82EF-6E5C5E273F32}"/>
              </c:ext>
            </c:extLst>
          </c:dPt>
          <c:dPt>
            <c:idx val="1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341-0A41-82EF-6E5C5E273F32}"/>
              </c:ext>
            </c:extLst>
          </c:dPt>
          <c:dPt>
            <c:idx val="1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341-0A41-82EF-6E5C5E273F32}"/>
              </c:ext>
            </c:extLst>
          </c:dPt>
          <c:cat>
            <c:strRef>
              <c:f>Sheet2!$C$100:$C$112</c:f>
              <c:strCache>
                <c:ptCount val="13"/>
                <c:pt idx="0">
                  <c:v>IF004_Day1_NT</c:v>
                </c:pt>
                <c:pt idx="1">
                  <c:v>IF004_Day1_Rap</c:v>
                </c:pt>
                <c:pt idx="2">
                  <c:v>IF004_Day1_HCQ</c:v>
                </c:pt>
                <c:pt idx="3">
                  <c:v>IF004_Day1_RapHCQ</c:v>
                </c:pt>
                <c:pt idx="4">
                  <c:v>IF006_Day1_NT</c:v>
                </c:pt>
                <c:pt idx="5">
                  <c:v>IF009_Day1_NT</c:v>
                </c:pt>
                <c:pt idx="6">
                  <c:v>IF009_Day1_Rap</c:v>
                </c:pt>
                <c:pt idx="7">
                  <c:v>IF009_Day1_HCQ</c:v>
                </c:pt>
                <c:pt idx="8">
                  <c:v>IF009_Day1_RapHCQ</c:v>
                </c:pt>
                <c:pt idx="9">
                  <c:v>IF010_Day1_NT</c:v>
                </c:pt>
                <c:pt idx="10">
                  <c:v>IF010_Day1_Rap</c:v>
                </c:pt>
                <c:pt idx="11">
                  <c:v>IF010_Day1_HCQ</c:v>
                </c:pt>
                <c:pt idx="12">
                  <c:v>IF010_Day1_RapHCQ</c:v>
                </c:pt>
              </c:strCache>
            </c:strRef>
          </c:cat>
          <c:val>
            <c:numRef>
              <c:f>Sheet2!$D$100:$D$112</c:f>
              <c:numCache>
                <c:formatCode>General</c:formatCode>
                <c:ptCount val="13"/>
                <c:pt idx="0">
                  <c:v>1.7697524307541897E-2</c:v>
                </c:pt>
                <c:pt idx="1">
                  <c:v>0.34290814670561465</c:v>
                </c:pt>
                <c:pt idx="2">
                  <c:v>2.252629814341395</c:v>
                </c:pt>
                <c:pt idx="3">
                  <c:v>1.3960609911054636</c:v>
                </c:pt>
                <c:pt idx="4">
                  <c:v>0.13650733032058215</c:v>
                </c:pt>
                <c:pt idx="5">
                  <c:v>0.31140145301148364</c:v>
                </c:pt>
                <c:pt idx="6">
                  <c:v>0.15319362950544796</c:v>
                </c:pt>
                <c:pt idx="7">
                  <c:v>0.62614902130420658</c:v>
                </c:pt>
                <c:pt idx="8">
                  <c:v>0.46561668145519097</c:v>
                </c:pt>
                <c:pt idx="9">
                  <c:v>0.10302901307650358</c:v>
                </c:pt>
                <c:pt idx="10">
                  <c:v>0.16983097693207186</c:v>
                </c:pt>
                <c:pt idx="11">
                  <c:v>1.1100430891614188</c:v>
                </c:pt>
                <c:pt idx="12">
                  <c:v>0.62756823968263409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1-0A41-82EF-6E5C5E273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918448"/>
        <c:axId val="358920096"/>
      </c:barChart>
      <c:catAx>
        <c:axId val="358918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 60 </a:t>
                </a:r>
                <a:r>
                  <a:rPr lang="en-US" b="1" baseline="0"/>
                  <a:t>INTERMITTENT FASTING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20096"/>
        <c:crosses val="autoZero"/>
        <c:auto val="1"/>
        <c:lblAlgn val="ctr"/>
        <c:lblOffset val="100"/>
        <c:noMultiLvlLbl val="0"/>
      </c:catAx>
      <c:valAx>
        <c:axId val="35892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LC3II:GAPDH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1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IF STUDY - DAY 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Sheet2!$G$99</c:f>
              <c:strCache>
                <c:ptCount val="1"/>
                <c:pt idx="0">
                  <c:v>LC3II:GAPDH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FBE-F64E-9AD2-90A85E81524A}"/>
              </c:ext>
            </c:extLst>
          </c:dPt>
          <c:dPt>
            <c:idx val="5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FBE-F64E-9AD2-90A85E81524A}"/>
              </c:ext>
            </c:extLst>
          </c:dPt>
          <c:dPt>
            <c:idx val="6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BE-F64E-9AD2-90A85E81524A}"/>
              </c:ext>
            </c:extLst>
          </c:dPt>
          <c:dPt>
            <c:idx val="7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FBE-F64E-9AD2-90A85E81524A}"/>
              </c:ext>
            </c:extLst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FBE-F64E-9AD2-90A85E81524A}"/>
              </c:ext>
            </c:extLst>
          </c:dPt>
          <c:dPt>
            <c:idx val="9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FBE-F64E-9AD2-90A85E81524A}"/>
              </c:ext>
            </c:extLst>
          </c:dPt>
          <c:dPt>
            <c:idx val="1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FBE-F64E-9AD2-90A85E81524A}"/>
              </c:ext>
            </c:extLst>
          </c:dPt>
          <c:dPt>
            <c:idx val="1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FBE-F64E-9AD2-90A85E81524A}"/>
              </c:ext>
            </c:extLst>
          </c:dPt>
          <c:dPt>
            <c:idx val="1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FBE-F64E-9AD2-90A85E81524A}"/>
              </c:ext>
            </c:extLst>
          </c:dPt>
          <c:dPt>
            <c:idx val="1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8FBE-F64E-9AD2-90A85E81524A}"/>
              </c:ext>
            </c:extLst>
          </c:dPt>
          <c:dPt>
            <c:idx val="1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FBE-F64E-9AD2-90A85E81524A}"/>
              </c:ext>
            </c:extLst>
          </c:dPt>
          <c:dPt>
            <c:idx val="15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FBE-F64E-9AD2-90A85E81524A}"/>
              </c:ext>
            </c:extLst>
          </c:dPt>
          <c:cat>
            <c:strRef>
              <c:f>Sheet2!$F$100:$F$115</c:f>
              <c:strCache>
                <c:ptCount val="16"/>
                <c:pt idx="0">
                  <c:v>IF004_Day30_NT</c:v>
                </c:pt>
                <c:pt idx="1">
                  <c:v>IF004_Day30_Rap</c:v>
                </c:pt>
                <c:pt idx="2">
                  <c:v>IF004_Day30_HCQ</c:v>
                </c:pt>
                <c:pt idx="3">
                  <c:v>IF004_Day30_RapHCQ</c:v>
                </c:pt>
                <c:pt idx="4">
                  <c:v>IF006_Day30_NT</c:v>
                </c:pt>
                <c:pt idx="5">
                  <c:v>IF006_Day30_Rap</c:v>
                </c:pt>
                <c:pt idx="6">
                  <c:v>IF006_Day30_HCQ</c:v>
                </c:pt>
                <c:pt idx="7">
                  <c:v>IF006_Day30_RapHCQ</c:v>
                </c:pt>
                <c:pt idx="8">
                  <c:v>IF009_Day30_NT</c:v>
                </c:pt>
                <c:pt idx="9">
                  <c:v>IF009_Day30_Rap</c:v>
                </c:pt>
                <c:pt idx="10">
                  <c:v>IF009_Day30_HCQ</c:v>
                </c:pt>
                <c:pt idx="11">
                  <c:v>IF009_Day30_RapHCQ</c:v>
                </c:pt>
                <c:pt idx="12">
                  <c:v>IF010_Day30_NT</c:v>
                </c:pt>
                <c:pt idx="13">
                  <c:v>IF010_Day30_Rap</c:v>
                </c:pt>
                <c:pt idx="14">
                  <c:v>IF010_Day30_HCQ</c:v>
                </c:pt>
                <c:pt idx="15">
                  <c:v>IF010_Day30_RapHCQ</c:v>
                </c:pt>
              </c:strCache>
            </c:strRef>
          </c:cat>
          <c:val>
            <c:numRef>
              <c:f>Sheet2!$G$100:$G$115</c:f>
              <c:numCache>
                <c:formatCode>0.00</c:formatCode>
                <c:ptCount val="16"/>
                <c:pt idx="0">
                  <c:v>0.13038576145606826</c:v>
                </c:pt>
                <c:pt idx="1">
                  <c:v>0.2228346456692924</c:v>
                </c:pt>
                <c:pt idx="2">
                  <c:v>1.4216101694915253</c:v>
                </c:pt>
                <c:pt idx="3">
                  <c:v>13.888268156424367</c:v>
                </c:pt>
                <c:pt idx="4">
                  <c:v>0.23431850668460419</c:v>
                </c:pt>
                <c:pt idx="5">
                  <c:v>0.10114068441064625</c:v>
                </c:pt>
                <c:pt idx="6">
                  <c:v>1.3851839020728687</c:v>
                </c:pt>
                <c:pt idx="7">
                  <c:v>1.0887038750128482</c:v>
                </c:pt>
                <c:pt idx="8">
                  <c:v>0.12969058591178467</c:v>
                </c:pt>
                <c:pt idx="9">
                  <c:v>0.26792486906266927</c:v>
                </c:pt>
                <c:pt idx="10">
                  <c:v>0.32675930076199</c:v>
                </c:pt>
                <c:pt idx="11">
                  <c:v>0.39823163486405289</c:v>
                </c:pt>
                <c:pt idx="12">
                  <c:v>0.13911678675893549</c:v>
                </c:pt>
                <c:pt idx="13">
                  <c:v>0.1795497901564288</c:v>
                </c:pt>
                <c:pt idx="14">
                  <c:v>1.5419206770422433</c:v>
                </c:pt>
                <c:pt idx="15">
                  <c:v>0.59855421686747046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E-F64E-9AD2-90A85E815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0760128"/>
        <c:axId val="780761776"/>
      </c:barChart>
      <c:catAx>
        <c:axId val="78076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 30 INTERMITTENT FASTING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761776"/>
        <c:crosses val="autoZero"/>
        <c:auto val="1"/>
        <c:lblAlgn val="ctr"/>
        <c:lblOffset val="100"/>
        <c:noMultiLvlLbl val="0"/>
      </c:catAx>
      <c:valAx>
        <c:axId val="78076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LC3II:GAPDH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76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IF</a:t>
            </a:r>
            <a:r>
              <a:rPr lang="en-US" baseline="0"/>
              <a:t> Study - DAY 60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Sheet2!$J$99</c:f>
              <c:strCache>
                <c:ptCount val="1"/>
                <c:pt idx="0">
                  <c:v>LC3II:GAPDH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2A-2B4D-B0FF-1A9257F509FD}"/>
              </c:ext>
            </c:extLst>
          </c:dPt>
          <c:dPt>
            <c:idx val="5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2A-2B4D-B0FF-1A9257F509FD}"/>
              </c:ext>
            </c:extLst>
          </c:dPt>
          <c:dPt>
            <c:idx val="6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2A-2B4D-B0FF-1A9257F509FD}"/>
              </c:ext>
            </c:extLst>
          </c:dPt>
          <c:dPt>
            <c:idx val="7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2A-2B4D-B0FF-1A9257F509FD}"/>
              </c:ext>
            </c:extLst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2A-2B4D-B0FF-1A9257F509FD}"/>
              </c:ext>
            </c:extLst>
          </c:dPt>
          <c:dPt>
            <c:idx val="1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32A-2B4D-B0FF-1A9257F509FD}"/>
              </c:ext>
            </c:extLst>
          </c:dPt>
          <c:dPt>
            <c:idx val="1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32A-2B4D-B0FF-1A9257F509FD}"/>
              </c:ext>
            </c:extLst>
          </c:dPt>
          <c:dPt>
            <c:idx val="1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32A-2B4D-B0FF-1A9257F509FD}"/>
              </c:ext>
            </c:extLst>
          </c:dPt>
          <c:dPt>
            <c:idx val="1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32A-2B4D-B0FF-1A9257F509FD}"/>
              </c:ext>
            </c:extLst>
          </c:dPt>
          <c:dPt>
            <c:idx val="1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32A-2B4D-B0FF-1A9257F509FD}"/>
              </c:ext>
            </c:extLst>
          </c:dPt>
          <c:dPt>
            <c:idx val="15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32A-2B4D-B0FF-1A9257F509FD}"/>
              </c:ext>
            </c:extLst>
          </c:dPt>
          <c:cat>
            <c:strRef>
              <c:f>Sheet2!$I$100:$I$115</c:f>
              <c:strCache>
                <c:ptCount val="16"/>
                <c:pt idx="0">
                  <c:v>IF004_Day60_NT</c:v>
                </c:pt>
                <c:pt idx="1">
                  <c:v>IF004_Day60_Rap</c:v>
                </c:pt>
                <c:pt idx="2">
                  <c:v>IF004_Day60_HCQ</c:v>
                </c:pt>
                <c:pt idx="3">
                  <c:v>IF004_Day60_RapHCQ</c:v>
                </c:pt>
                <c:pt idx="4">
                  <c:v>IF006_Day60_NT</c:v>
                </c:pt>
                <c:pt idx="5">
                  <c:v>IF006_Day60_Rap</c:v>
                </c:pt>
                <c:pt idx="6">
                  <c:v>IF006_Day60_HCQ</c:v>
                </c:pt>
                <c:pt idx="7">
                  <c:v>IF006_Day60_RapHCQ</c:v>
                </c:pt>
                <c:pt idx="8">
                  <c:v>IF009_Day60_NT</c:v>
                </c:pt>
                <c:pt idx="9">
                  <c:v>IF009_Day60_Rap</c:v>
                </c:pt>
                <c:pt idx="10">
                  <c:v>IF009_Day60_HCQ</c:v>
                </c:pt>
                <c:pt idx="11">
                  <c:v>IF009_Day60_RapHCQ</c:v>
                </c:pt>
                <c:pt idx="12">
                  <c:v>IF010_Day60_NT</c:v>
                </c:pt>
                <c:pt idx="13">
                  <c:v>IF010_Day60_Rap</c:v>
                </c:pt>
                <c:pt idx="14">
                  <c:v>IF010_Day60_HCQ</c:v>
                </c:pt>
                <c:pt idx="15">
                  <c:v>IF010_Day60_RapHCQ</c:v>
                </c:pt>
              </c:strCache>
            </c:strRef>
          </c:cat>
          <c:val>
            <c:numRef>
              <c:f>Sheet2!$J$100:$J$115</c:f>
              <c:numCache>
                <c:formatCode>0.00</c:formatCode>
                <c:ptCount val="16"/>
                <c:pt idx="0">
                  <c:v>0.22529384726508733</c:v>
                </c:pt>
                <c:pt idx="1">
                  <c:v>0.34420848127554021</c:v>
                </c:pt>
                <c:pt idx="2">
                  <c:v>1.1442783478306151</c:v>
                </c:pt>
                <c:pt idx="3">
                  <c:v>0.84109160358038648</c:v>
                </c:pt>
                <c:pt idx="4">
                  <c:v>0.17868536688135792</c:v>
                </c:pt>
                <c:pt idx="5">
                  <c:v>0.13302862197976409</c:v>
                </c:pt>
                <c:pt idx="6">
                  <c:v>0.79623510387738572</c:v>
                </c:pt>
                <c:pt idx="7">
                  <c:v>0.35820558042780259</c:v>
                </c:pt>
                <c:pt idx="8">
                  <c:v>2.2550207756232721E-2</c:v>
                </c:pt>
                <c:pt idx="9">
                  <c:v>6.6434363500172391E-3</c:v>
                </c:pt>
                <c:pt idx="10">
                  <c:v>0.38804816965950872</c:v>
                </c:pt>
                <c:pt idx="11">
                  <c:v>0.29437510833766722</c:v>
                </c:pt>
                <c:pt idx="12">
                  <c:v>0.15256797583081588</c:v>
                </c:pt>
                <c:pt idx="13">
                  <c:v>0.2998549463301417</c:v>
                </c:pt>
                <c:pt idx="14">
                  <c:v>0.94861312210771442</c:v>
                </c:pt>
                <c:pt idx="15">
                  <c:v>1.0110794988236589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A-2B4D-B0FF-1A9257F50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9869967"/>
        <c:axId val="1603828735"/>
      </c:barChart>
      <c:catAx>
        <c:axId val="1699869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</a:t>
                </a:r>
                <a:r>
                  <a:rPr lang="en-US" b="1" baseline="0"/>
                  <a:t> 60 INTERMITTENT FASTING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29932397094141949"/>
              <c:y val="0.652872795289118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828735"/>
        <c:crosses val="autoZero"/>
        <c:auto val="1"/>
        <c:lblAlgn val="ctr"/>
        <c:lblOffset val="100"/>
        <c:noMultiLvlLbl val="0"/>
      </c:catAx>
      <c:valAx>
        <c:axId val="160382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LC3II:GAPDH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86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IF STUDY</a:t>
            </a:r>
            <a:r>
              <a:rPr lang="en-US" baseline="0"/>
              <a:t> - DAY 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Sheet2!$M$99</c:f>
              <c:strCache>
                <c:ptCount val="1"/>
                <c:pt idx="0">
                  <c:v>LC3II:GAPDH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9C-4F4E-81A3-85172CA2AD28}"/>
              </c:ext>
            </c:extLst>
          </c:dPt>
          <c:dPt>
            <c:idx val="5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9C-4F4E-81A3-85172CA2AD28}"/>
              </c:ext>
            </c:extLst>
          </c:dPt>
          <c:dPt>
            <c:idx val="6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9C-4F4E-81A3-85172CA2AD28}"/>
              </c:ext>
            </c:extLst>
          </c:dPt>
          <c:dPt>
            <c:idx val="7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29C-4F4E-81A3-85172CA2AD28}"/>
              </c:ext>
            </c:extLst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29C-4F4E-81A3-85172CA2AD28}"/>
              </c:ext>
            </c:extLst>
          </c:dPt>
          <c:dPt>
            <c:idx val="9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29C-4F4E-81A3-85172CA2AD28}"/>
              </c:ext>
            </c:extLst>
          </c:dPt>
          <c:dPt>
            <c:idx val="1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29C-4F4E-81A3-85172CA2AD28}"/>
              </c:ext>
            </c:extLst>
          </c:dPt>
          <c:dPt>
            <c:idx val="1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29C-4F4E-81A3-85172CA2AD28}"/>
              </c:ext>
            </c:extLst>
          </c:dPt>
          <c:dPt>
            <c:idx val="1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29C-4F4E-81A3-85172CA2AD28}"/>
              </c:ext>
            </c:extLst>
          </c:dPt>
          <c:dPt>
            <c:idx val="1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29C-4F4E-81A3-85172CA2AD28}"/>
              </c:ext>
            </c:extLst>
          </c:dPt>
          <c:dPt>
            <c:idx val="1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29C-4F4E-81A3-85172CA2AD28}"/>
              </c:ext>
            </c:extLst>
          </c:dPt>
          <c:dPt>
            <c:idx val="15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29C-4F4E-81A3-85172CA2AD28}"/>
              </c:ext>
            </c:extLst>
          </c:dPt>
          <c:cat>
            <c:strRef>
              <c:f>Sheet2!$L$100:$L$115</c:f>
              <c:strCache>
                <c:ptCount val="16"/>
                <c:pt idx="0">
                  <c:v>IF004_Day90_NT</c:v>
                </c:pt>
                <c:pt idx="1">
                  <c:v>IF004_Day90_Rap</c:v>
                </c:pt>
                <c:pt idx="2">
                  <c:v>IF004_Day90_HCQ</c:v>
                </c:pt>
                <c:pt idx="3">
                  <c:v>IF004_Day90_RapHCQ</c:v>
                </c:pt>
                <c:pt idx="4">
                  <c:v>IF006_Day90_NT</c:v>
                </c:pt>
                <c:pt idx="5">
                  <c:v>IF006_Day90_Rap</c:v>
                </c:pt>
                <c:pt idx="6">
                  <c:v>IF006_Day90_HCQ</c:v>
                </c:pt>
                <c:pt idx="7">
                  <c:v>IF006_Day90_RapHCQ</c:v>
                </c:pt>
                <c:pt idx="8">
                  <c:v>IF009_Day90_NT</c:v>
                </c:pt>
                <c:pt idx="9">
                  <c:v>IF009_Day90_Rap</c:v>
                </c:pt>
                <c:pt idx="10">
                  <c:v>IF009_Day90_HCQ</c:v>
                </c:pt>
                <c:pt idx="11">
                  <c:v>IF009_Day90_RapHCQ</c:v>
                </c:pt>
                <c:pt idx="12">
                  <c:v>IF010_Day90_NT</c:v>
                </c:pt>
                <c:pt idx="13">
                  <c:v>IF010_Day90_Rap</c:v>
                </c:pt>
                <c:pt idx="14">
                  <c:v>IF010_Day90_HCQ</c:v>
                </c:pt>
                <c:pt idx="15">
                  <c:v>IF010_Day90_RapHCQ</c:v>
                </c:pt>
              </c:strCache>
            </c:strRef>
          </c:cat>
          <c:val>
            <c:numRef>
              <c:f>Sheet2!$M$100:$M$115</c:f>
              <c:numCache>
                <c:formatCode>0.00</c:formatCode>
                <c:ptCount val="16"/>
                <c:pt idx="0">
                  <c:v>7.4948472924822671E-4</c:v>
                </c:pt>
                <c:pt idx="1">
                  <c:v>0.10737937559129533</c:v>
                </c:pt>
                <c:pt idx="2">
                  <c:v>0.38250950570342213</c:v>
                </c:pt>
                <c:pt idx="3">
                  <c:v>0.56027293404094058</c:v>
                </c:pt>
                <c:pt idx="4">
                  <c:v>0.1376464926682896</c:v>
                </c:pt>
                <c:pt idx="5">
                  <c:v>0.10880919496436017</c:v>
                </c:pt>
                <c:pt idx="6">
                  <c:v>0.88165742076535292</c:v>
                </c:pt>
                <c:pt idx="7">
                  <c:v>0.90199320780213765</c:v>
                </c:pt>
                <c:pt idx="8">
                  <c:v>9.711444285391517E-2</c:v>
                </c:pt>
                <c:pt idx="9">
                  <c:v>0.1202988369131506</c:v>
                </c:pt>
                <c:pt idx="10">
                  <c:v>0.19778243193298051</c:v>
                </c:pt>
                <c:pt idx="11">
                  <c:v>0.12109633119774763</c:v>
                </c:pt>
                <c:pt idx="12">
                  <c:v>0.19365188495473848</c:v>
                </c:pt>
                <c:pt idx="13">
                  <c:v>0.14862666983424974</c:v>
                </c:pt>
                <c:pt idx="14">
                  <c:v>0.75412327075880858</c:v>
                </c:pt>
                <c:pt idx="15">
                  <c:v>0.48147284695556775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C-4F4E-81A3-85172CA2A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409712"/>
        <c:axId val="346411360"/>
      </c:barChart>
      <c:catAx>
        <c:axId val="346409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90 INTERMITTENT FASTING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11360"/>
        <c:crosses val="autoZero"/>
        <c:auto val="1"/>
        <c:lblAlgn val="ctr"/>
        <c:lblOffset val="100"/>
        <c:noMultiLvlLbl val="0"/>
      </c:catAx>
      <c:valAx>
        <c:axId val="34641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LC3II:GAPDH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0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IF</a:t>
            </a:r>
            <a:r>
              <a:rPr lang="en-US" baseline="0"/>
              <a:t> </a:t>
            </a:r>
            <a:r>
              <a:rPr lang="en-US"/>
              <a:t>STUDY</a:t>
            </a:r>
            <a:r>
              <a:rPr lang="en-US" baseline="0"/>
              <a:t> - 1 MONTH POST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Sheet2!$P$99</c:f>
              <c:strCache>
                <c:ptCount val="1"/>
                <c:pt idx="0">
                  <c:v>LC3II:GAPDH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A15-CD41-AA2E-E5E4B45373C3}"/>
              </c:ext>
            </c:extLst>
          </c:dPt>
          <c:dPt>
            <c:idx val="5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15-CD41-AA2E-E5E4B45373C3}"/>
              </c:ext>
            </c:extLst>
          </c:dPt>
          <c:dPt>
            <c:idx val="6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A15-CD41-AA2E-E5E4B45373C3}"/>
              </c:ext>
            </c:extLst>
          </c:dPt>
          <c:dPt>
            <c:idx val="7"/>
            <c:invertIfNegative val="0"/>
            <c:bubble3D val="0"/>
            <c:spPr>
              <a:solidFill>
                <a:srgbClr val="CF3E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A15-CD41-AA2E-E5E4B45373C3}"/>
              </c:ext>
            </c:extLst>
          </c:dPt>
          <c:dPt>
            <c:idx val="9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A15-CD41-AA2E-E5E4B45373C3}"/>
              </c:ext>
            </c:extLst>
          </c:dPt>
          <c:dPt>
            <c:idx val="1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A15-CD41-AA2E-E5E4B45373C3}"/>
              </c:ext>
            </c:extLst>
          </c:dPt>
          <c:dPt>
            <c:idx val="1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A15-CD41-AA2E-E5E4B45373C3}"/>
              </c:ext>
            </c:extLst>
          </c:dPt>
          <c:cat>
            <c:strRef>
              <c:f>Sheet2!$O$100:$O$111</c:f>
              <c:strCache>
                <c:ptCount val="12"/>
                <c:pt idx="0">
                  <c:v>IF004_1moPost_NT</c:v>
                </c:pt>
                <c:pt idx="1">
                  <c:v>IF004_1moPost_Rap</c:v>
                </c:pt>
                <c:pt idx="2">
                  <c:v>IF004_1moPost_HCQ</c:v>
                </c:pt>
                <c:pt idx="3">
                  <c:v>IF004_1moPost_RapHCQ</c:v>
                </c:pt>
                <c:pt idx="4">
                  <c:v>IF006_1moPost_NT</c:v>
                </c:pt>
                <c:pt idx="5">
                  <c:v>IF006_1moPost_Rap</c:v>
                </c:pt>
                <c:pt idx="6">
                  <c:v>IF006_1moPost_HCQ</c:v>
                </c:pt>
                <c:pt idx="7">
                  <c:v>IF006_1moPost_RapHCQ</c:v>
                </c:pt>
                <c:pt idx="8">
                  <c:v>IF009_1moPost_NT</c:v>
                </c:pt>
                <c:pt idx="9">
                  <c:v>IF009_1moPost_Rap</c:v>
                </c:pt>
                <c:pt idx="10">
                  <c:v>IF009_1moPost_HCQ</c:v>
                </c:pt>
                <c:pt idx="11">
                  <c:v>IF009_1moPost_RapHCQ</c:v>
                </c:pt>
              </c:strCache>
            </c:strRef>
          </c:cat>
          <c:val>
            <c:numRef>
              <c:f>Sheet2!$P$100:$P$111</c:f>
              <c:numCache>
                <c:formatCode>0.00</c:formatCode>
                <c:ptCount val="12"/>
                <c:pt idx="0">
                  <c:v>0.64281549354435552</c:v>
                </c:pt>
                <c:pt idx="1">
                  <c:v>0.23414942452265361</c:v>
                </c:pt>
                <c:pt idx="2">
                  <c:v>3.6438141639115975</c:v>
                </c:pt>
                <c:pt idx="3">
                  <c:v>3.0686219214138069</c:v>
                </c:pt>
                <c:pt idx="4">
                  <c:v>0.12161798719810642</c:v>
                </c:pt>
                <c:pt idx="5">
                  <c:v>0.11826900705736416</c:v>
                </c:pt>
                <c:pt idx="6">
                  <c:v>0.58870783956244266</c:v>
                </c:pt>
                <c:pt idx="7">
                  <c:v>0.47540491901619597</c:v>
                </c:pt>
                <c:pt idx="8">
                  <c:v>3.3421114924842982E-2</c:v>
                </c:pt>
                <c:pt idx="9">
                  <c:v>5.7685846283074035E-2</c:v>
                </c:pt>
                <c:pt idx="10">
                  <c:v>0.37865837865837859</c:v>
                </c:pt>
                <c:pt idx="11">
                  <c:v>0.3321198701469294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5-CD41-AA2E-E5E4B4537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209104"/>
        <c:axId val="360210752"/>
      </c:barChart>
      <c:catAx>
        <c:axId val="36020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</a:t>
                </a:r>
                <a:r>
                  <a:rPr lang="en-US" baseline="0"/>
                  <a:t> MONTH POST INTERMITTENT FASTING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210752"/>
        <c:crosses val="autoZero"/>
        <c:auto val="1"/>
        <c:lblAlgn val="ctr"/>
        <c:lblOffset val="100"/>
        <c:noMultiLvlLbl val="0"/>
      </c:catAx>
      <c:valAx>
        <c:axId val="36021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LC3II:GAPDH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20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Sheet2!$S$99</c:f>
              <c:strCache>
                <c:ptCount val="1"/>
                <c:pt idx="0">
                  <c:v>LC3II:GAPDH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Sheet2!$R$100:$R$103</c:f>
              <c:strCache>
                <c:ptCount val="4"/>
                <c:pt idx="0">
                  <c:v>IF009_2moPost_NT</c:v>
                </c:pt>
                <c:pt idx="1">
                  <c:v>IF009_2mopost_Rap</c:v>
                </c:pt>
                <c:pt idx="2">
                  <c:v>IF009_2moPost_HCQ</c:v>
                </c:pt>
                <c:pt idx="3">
                  <c:v>IF009_2moPost_RapHCQ</c:v>
                </c:pt>
              </c:strCache>
            </c:strRef>
          </c:cat>
          <c:val>
            <c:numRef>
              <c:f>Sheet2!$S$100:$S$103</c:f>
              <c:numCache>
                <c:formatCode>0.00</c:formatCode>
                <c:ptCount val="4"/>
                <c:pt idx="0">
                  <c:v>0.13233098192677989</c:v>
                </c:pt>
                <c:pt idx="1">
                  <c:v>0.10097795715616249</c:v>
                </c:pt>
                <c:pt idx="2">
                  <c:v>0.28172848648530935</c:v>
                </c:pt>
                <c:pt idx="3">
                  <c:v>0.22635674136619144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C-E141-A128-20581D497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457824"/>
        <c:axId val="346459056"/>
      </c:barChart>
      <c:catAx>
        <c:axId val="34645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59056"/>
        <c:crosses val="autoZero"/>
        <c:auto val="1"/>
        <c:lblAlgn val="ctr"/>
        <c:lblOffset val="100"/>
        <c:noMultiLvlLbl val="0"/>
      </c:catAx>
      <c:valAx>
        <c:axId val="34645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5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385762</xdr:colOff>
      <xdr:row>4</xdr:row>
      <xdr:rowOff>28575</xdr:rowOff>
    </xdr:from>
    <xdr:to>
      <xdr:col>12</xdr:col>
      <xdr:colOff>157162</xdr:colOff>
      <xdr:row>17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116</xdr:row>
      <xdr:rowOff>95250</xdr:rowOff>
    </xdr:from>
    <xdr:to>
      <xdr:col>7</xdr:col>
      <xdr:colOff>25400</xdr:colOff>
      <xdr:row>147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50A0A4-3773-614B-B600-DF5599B87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335596</xdr:colOff>
      <xdr:row>116</xdr:row>
      <xdr:rowOff>57149</xdr:rowOff>
    </xdr:from>
    <xdr:to>
      <xdr:col>11</xdr:col>
      <xdr:colOff>690933</xdr:colOff>
      <xdr:row>144</xdr:row>
      <xdr:rowOff>157926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FE56DE-9C7F-EA4C-8D8A-576580DD0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317500</xdr:colOff>
      <xdr:row>116</xdr:row>
      <xdr:rowOff>82550</xdr:rowOff>
    </xdr:from>
    <xdr:to>
      <xdr:col>17</xdr:col>
      <xdr:colOff>256632</xdr:colOff>
      <xdr:row>135</xdr:row>
      <xdr:rowOff>72383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9C328C-8C65-FA40-A744-0D84C0D71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444500</xdr:colOff>
      <xdr:row>116</xdr:row>
      <xdr:rowOff>44450</xdr:rowOff>
    </xdr:from>
    <xdr:to>
      <xdr:col>23</xdr:col>
      <xdr:colOff>63500</xdr:colOff>
      <xdr:row>129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D5068B-5262-8248-BD68-F899916EF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254000</xdr:colOff>
      <xdr:row>116</xdr:row>
      <xdr:rowOff>69850</xdr:rowOff>
    </xdr:from>
    <xdr:to>
      <xdr:col>28</xdr:col>
      <xdr:colOff>698500</xdr:colOff>
      <xdr:row>129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1EFE8B4-1AC4-0E45-9FC4-CA0C3EBA6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101600</xdr:colOff>
      <xdr:row>116</xdr:row>
      <xdr:rowOff>44450</xdr:rowOff>
    </xdr:from>
    <xdr:to>
      <xdr:col>34</xdr:col>
      <xdr:colOff>546100</xdr:colOff>
      <xdr:row>129</xdr:row>
      <xdr:rowOff>146050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22F7D3-B8CB-D546-8AD8-1377356D5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P103:Q129" totalsRowShown="0">
  <autoFilter ref="P103:Q129" xr:uid="{00000000-0009-0000-0100-000001000000}"/>
  <tableColumns count="2">
    <tableColumn id="1" xr3:uid="{00000000-0010-0000-0000-000001000000}" name="Sample" dataDxfId="15"/>
    <tableColumn id="2" xr3:uid="{00000000-0010-0000-0000-000002000000}" name="LC3II:GAPDH" dataDxfId="14">
      <calculatedColumnFormula>F104/L104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C5:D85" totalsRowShown="0" headerRowDxfId="13">
  <autoFilter ref="C5:D85" xr:uid="{00000000-0009-0000-0100-000002000000}"/>
  <tableColumns count="2">
    <tableColumn id="1" xr3:uid="{00000000-0010-0000-0100-000001000000}" name="Samples"/>
    <tableColumn id="2" xr3:uid="{00000000-0010-0000-0100-000002000000}" name="LC3II:GAPDH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C99:D112" totalsRowShown="0">
  <autoFilter ref="C99:D112" xr:uid="{00000000-0009-0000-0100-000003000000}"/>
  <tableColumns count="2">
    <tableColumn id="1" xr3:uid="{00000000-0010-0000-0200-000001000000}" name="Sample"/>
    <tableColumn id="2" xr3:uid="{00000000-0010-0000-0200-000002000000}" name="LC3II:GAPD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F99:G115" totalsRowShown="0" tableBorderDxfId="11">
  <autoFilter ref="F99:G115" xr:uid="{00000000-0009-0000-0100-000004000000}"/>
  <tableColumns count="2">
    <tableColumn id="1" xr3:uid="{00000000-0010-0000-0300-000001000000}" name="Sample" dataDxfId="10"/>
    <tableColumn id="2" xr3:uid="{00000000-0010-0000-0300-000002000000}" name="LC3II:GAPDH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I99:J115" totalsRowShown="0" tableBorderDxfId="8">
  <autoFilter ref="I99:J115" xr:uid="{00000000-0009-0000-0100-000005000000}"/>
  <tableColumns count="2">
    <tableColumn id="1" xr3:uid="{00000000-0010-0000-0400-000001000000}" name="Sample" dataDxfId="7"/>
    <tableColumn id="2" xr3:uid="{00000000-0010-0000-0400-000002000000}" name="LC3II:GAPDH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L99:M115" totalsRowShown="0" tableBorderDxfId="5">
  <autoFilter ref="L99:M115" xr:uid="{00000000-0009-0000-0100-000006000000}"/>
  <tableColumns count="2">
    <tableColumn id="1" xr3:uid="{00000000-0010-0000-0500-000001000000}" name="Sample" dataDxfId="4"/>
    <tableColumn id="2" xr3:uid="{00000000-0010-0000-0500-000002000000}" name="LC3II:GAPDH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O99:P111" totalsRowShown="0" tableBorderDxfId="2">
  <autoFilter ref="O99:P111" xr:uid="{00000000-0009-0000-0100-000007000000}"/>
  <tableColumns count="2">
    <tableColumn id="1" xr3:uid="{00000000-0010-0000-0600-000001000000}" name="Sample"/>
    <tableColumn id="2" xr3:uid="{00000000-0010-0000-0600-000002000000}" name="LC3II:GAPDH" data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R99:S103" totalsRowShown="0" tableBorderDxfId="0">
  <autoFilter ref="R99:S103" xr:uid="{00000000-0009-0000-0100-000008000000}"/>
  <tableColumns count="2">
    <tableColumn id="1" xr3:uid="{00000000-0010-0000-0700-000001000000}" name="Sample"/>
    <tableColumn id="2" xr3:uid="{00000000-0010-0000-0700-000002000000}" name="LC3II:GAPD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263"/>
  <sheetViews>
    <sheetView tabSelected="1" zoomScale="159" workbookViewId="0">
      <pane xSplit="1" topLeftCell="N1" activePane="topRight" state="frozen"/>
      <selection pane="topRight" activeCell="R9" sqref="R9"/>
    </sheetView>
  </sheetViews>
  <sheetFormatPr baseColWidth="10" defaultColWidth="11" defaultRowHeight="16" x14ac:dyDescent="0.2"/>
  <cols>
    <col min="1" max="1" width="15" customWidth="1"/>
    <col min="3" max="3" width="14.5" customWidth="1"/>
    <col min="5" max="5" width="19" customWidth="1"/>
    <col min="11" max="11" width="17.5" customWidth="1"/>
    <col min="14" max="14" width="16" customWidth="1"/>
    <col min="16" max="16" width="16.83203125" customWidth="1"/>
    <col min="17" max="17" width="14" customWidth="1"/>
  </cols>
  <sheetData>
    <row r="2" spans="1:16" s="1" customFormat="1" x14ac:dyDescent="0.2">
      <c r="A2" s="1" t="s">
        <v>124</v>
      </c>
      <c r="B2" s="1" t="s">
        <v>1</v>
      </c>
      <c r="C2" s="1" t="s">
        <v>6</v>
      </c>
      <c r="D2" s="1" t="s">
        <v>117</v>
      </c>
      <c r="E2" s="1" t="s">
        <v>118</v>
      </c>
      <c r="F2" s="1" t="s">
        <v>120</v>
      </c>
      <c r="H2" s="1" t="s">
        <v>7</v>
      </c>
      <c r="I2" s="1" t="s">
        <v>121</v>
      </c>
      <c r="J2" s="1" t="s">
        <v>3</v>
      </c>
      <c r="K2" s="1" t="s">
        <v>122</v>
      </c>
      <c r="L2" s="1" t="s">
        <v>123</v>
      </c>
      <c r="N2" s="1" t="s">
        <v>14</v>
      </c>
      <c r="P2" s="13" t="s">
        <v>153</v>
      </c>
    </row>
    <row r="3" spans="1:16" x14ac:dyDescent="0.2">
      <c r="A3" t="s">
        <v>125</v>
      </c>
      <c r="B3">
        <v>112.703</v>
      </c>
      <c r="C3">
        <f>255-B3</f>
        <v>142.297</v>
      </c>
      <c r="D3">
        <v>142.62799999999999</v>
      </c>
      <c r="E3">
        <f>255-D3</f>
        <v>112.37200000000001</v>
      </c>
      <c r="F3">
        <f>C3-E3</f>
        <v>29.924999999999983</v>
      </c>
      <c r="H3">
        <v>160.02799999999999</v>
      </c>
      <c r="I3">
        <f>255-H3</f>
        <v>94.972000000000008</v>
      </c>
      <c r="J3">
        <v>240.65</v>
      </c>
      <c r="K3">
        <f>255-J3</f>
        <v>14.349999999999994</v>
      </c>
      <c r="L3">
        <f>I3-K3</f>
        <v>80.622000000000014</v>
      </c>
      <c r="N3" s="2">
        <f>F3/L3</f>
        <v>0.37117660192007118</v>
      </c>
      <c r="O3" t="s">
        <v>146</v>
      </c>
      <c r="P3" s="14">
        <f>N3-N8</f>
        <v>0.30612901412880078</v>
      </c>
    </row>
    <row r="4" spans="1:16" x14ac:dyDescent="0.2">
      <c r="A4" t="s">
        <v>126</v>
      </c>
      <c r="B4">
        <v>138.72900000000001</v>
      </c>
      <c r="C4">
        <f t="shared" ref="C4:C12" si="0">255-B4</f>
        <v>116.27099999999999</v>
      </c>
      <c r="D4">
        <v>164.62</v>
      </c>
      <c r="E4">
        <f t="shared" ref="E4:E12" si="1">255-D4</f>
        <v>90.38</v>
      </c>
      <c r="F4">
        <f t="shared" ref="F4:F12" si="2">C4-E4</f>
        <v>25.890999999999991</v>
      </c>
      <c r="H4">
        <v>156.86799999999999</v>
      </c>
      <c r="I4">
        <f t="shared" ref="I4:I12" si="3">255-H4</f>
        <v>98.132000000000005</v>
      </c>
      <c r="J4">
        <v>240.16</v>
      </c>
      <c r="K4">
        <f t="shared" ref="K4:K12" si="4">255-J4</f>
        <v>14.840000000000003</v>
      </c>
      <c r="L4">
        <f t="shared" ref="L4:L12" si="5">I4-K4</f>
        <v>83.292000000000002</v>
      </c>
      <c r="N4" s="2">
        <f>F4/L4</f>
        <v>0.31084617970513362</v>
      </c>
      <c r="O4" t="s">
        <v>147</v>
      </c>
      <c r="P4" s="14">
        <f>N4-N9</f>
        <v>0.20151845966829657</v>
      </c>
    </row>
    <row r="5" spans="1:16" x14ac:dyDescent="0.2">
      <c r="A5" t="s">
        <v>127</v>
      </c>
      <c r="B5">
        <v>152.733</v>
      </c>
      <c r="C5">
        <f t="shared" si="0"/>
        <v>102.267</v>
      </c>
      <c r="D5">
        <v>170.453</v>
      </c>
      <c r="E5">
        <f t="shared" si="1"/>
        <v>84.546999999999997</v>
      </c>
      <c r="F5">
        <f t="shared" si="2"/>
        <v>17.72</v>
      </c>
      <c r="H5">
        <v>178.28899999999999</v>
      </c>
      <c r="I5">
        <f t="shared" si="3"/>
        <v>76.711000000000013</v>
      </c>
      <c r="J5">
        <v>241.37700000000001</v>
      </c>
      <c r="K5">
        <f t="shared" si="4"/>
        <v>13.62299999999999</v>
      </c>
      <c r="L5">
        <f t="shared" si="5"/>
        <v>63.088000000000022</v>
      </c>
      <c r="N5" s="2">
        <f t="shared" ref="N5:N12" si="6">F5/L5</f>
        <v>0.28087750443824488</v>
      </c>
      <c r="O5" t="s">
        <v>149</v>
      </c>
      <c r="P5" s="14">
        <f>N5-N11</f>
        <v>0.22275591322127256</v>
      </c>
    </row>
    <row r="6" spans="1:16" x14ac:dyDescent="0.2">
      <c r="A6" t="s">
        <v>128</v>
      </c>
      <c r="B6">
        <v>166.066</v>
      </c>
      <c r="C6">
        <f t="shared" si="0"/>
        <v>88.933999999999997</v>
      </c>
      <c r="D6">
        <v>202.97399999999999</v>
      </c>
      <c r="E6">
        <f t="shared" si="1"/>
        <v>52.02600000000001</v>
      </c>
      <c r="F6">
        <f t="shared" si="2"/>
        <v>36.907999999999987</v>
      </c>
      <c r="H6">
        <v>149.047</v>
      </c>
      <c r="I6">
        <f t="shared" si="3"/>
        <v>105.953</v>
      </c>
      <c r="J6">
        <v>240.773</v>
      </c>
      <c r="K6">
        <f t="shared" si="4"/>
        <v>14.227000000000004</v>
      </c>
      <c r="L6">
        <f t="shared" si="5"/>
        <v>91.725999999999999</v>
      </c>
      <c r="N6" s="2">
        <f t="shared" si="6"/>
        <v>0.40237228266794572</v>
      </c>
      <c r="O6" t="s">
        <v>154</v>
      </c>
      <c r="P6" s="14">
        <f>N7-N12</f>
        <v>0.19665550086528416</v>
      </c>
    </row>
    <row r="7" spans="1:16" x14ac:dyDescent="0.2">
      <c r="A7" t="s">
        <v>129</v>
      </c>
      <c r="B7">
        <v>172.68199999999999</v>
      </c>
      <c r="C7">
        <f t="shared" si="0"/>
        <v>82.318000000000012</v>
      </c>
      <c r="D7">
        <v>198.87200000000001</v>
      </c>
      <c r="E7">
        <f t="shared" si="1"/>
        <v>56.127999999999986</v>
      </c>
      <c r="F7">
        <f t="shared" si="2"/>
        <v>26.190000000000026</v>
      </c>
      <c r="H7">
        <v>150.83000000000001</v>
      </c>
      <c r="I7">
        <f t="shared" si="3"/>
        <v>104.16999999999999</v>
      </c>
      <c r="J7">
        <v>242.01400000000001</v>
      </c>
      <c r="K7">
        <f t="shared" si="4"/>
        <v>12.98599999999999</v>
      </c>
      <c r="L7">
        <f t="shared" si="5"/>
        <v>91.183999999999997</v>
      </c>
      <c r="N7" s="2">
        <f t="shared" si="6"/>
        <v>0.28722144235830877</v>
      </c>
    </row>
    <row r="8" spans="1:16" x14ac:dyDescent="0.2">
      <c r="A8" t="s">
        <v>130</v>
      </c>
      <c r="B8">
        <v>136.1</v>
      </c>
      <c r="C8">
        <f t="shared" si="0"/>
        <v>118.9</v>
      </c>
      <c r="D8">
        <v>139.07300000000001</v>
      </c>
      <c r="E8">
        <f t="shared" si="1"/>
        <v>115.92699999999999</v>
      </c>
      <c r="F8">
        <f t="shared" si="2"/>
        <v>2.9730000000000132</v>
      </c>
      <c r="H8">
        <v>194.67</v>
      </c>
      <c r="I8">
        <f t="shared" si="3"/>
        <v>60.330000000000013</v>
      </c>
      <c r="J8">
        <v>240.375</v>
      </c>
      <c r="K8">
        <f t="shared" si="4"/>
        <v>14.625</v>
      </c>
      <c r="L8">
        <f t="shared" si="5"/>
        <v>45.705000000000013</v>
      </c>
      <c r="N8" s="2">
        <f t="shared" si="6"/>
        <v>6.5047587791270373E-2</v>
      </c>
    </row>
    <row r="9" spans="1:16" x14ac:dyDescent="0.2">
      <c r="A9" t="s">
        <v>131</v>
      </c>
      <c r="B9">
        <v>144.929</v>
      </c>
      <c r="C9">
        <f t="shared" si="0"/>
        <v>110.071</v>
      </c>
      <c r="D9">
        <v>152.40799999999999</v>
      </c>
      <c r="E9">
        <f t="shared" si="1"/>
        <v>102.59200000000001</v>
      </c>
      <c r="F9">
        <f t="shared" si="2"/>
        <v>7.478999999999985</v>
      </c>
      <c r="H9">
        <v>171.535</v>
      </c>
      <c r="I9">
        <f t="shared" si="3"/>
        <v>83.465000000000003</v>
      </c>
      <c r="J9">
        <v>239.94399999999999</v>
      </c>
      <c r="K9">
        <f t="shared" si="4"/>
        <v>15.056000000000012</v>
      </c>
      <c r="L9">
        <f t="shared" si="5"/>
        <v>68.408999999999992</v>
      </c>
      <c r="N9" s="2">
        <f t="shared" si="6"/>
        <v>0.10932772003683705</v>
      </c>
    </row>
    <row r="10" spans="1:16" x14ac:dyDescent="0.2">
      <c r="A10" t="s">
        <v>132</v>
      </c>
      <c r="B10">
        <v>176.12</v>
      </c>
      <c r="C10">
        <f t="shared" si="0"/>
        <v>78.88</v>
      </c>
      <c r="D10">
        <v>178.75399999999999</v>
      </c>
      <c r="E10">
        <f t="shared" si="1"/>
        <v>76.246000000000009</v>
      </c>
      <c r="F10">
        <f t="shared" si="2"/>
        <v>2.6339999999999861</v>
      </c>
      <c r="H10">
        <v>177.55500000000001</v>
      </c>
      <c r="I10">
        <f t="shared" si="3"/>
        <v>77.444999999999993</v>
      </c>
      <c r="J10">
        <v>241.047</v>
      </c>
      <c r="K10">
        <f t="shared" si="4"/>
        <v>13.953000000000003</v>
      </c>
      <c r="L10">
        <f t="shared" si="5"/>
        <v>63.49199999999999</v>
      </c>
      <c r="N10" s="2">
        <f t="shared" si="6"/>
        <v>4.1485541485541275E-2</v>
      </c>
    </row>
    <row r="11" spans="1:16" x14ac:dyDescent="0.2">
      <c r="A11" t="s">
        <v>133</v>
      </c>
      <c r="B11">
        <v>170.25200000000001</v>
      </c>
      <c r="C11">
        <f t="shared" si="0"/>
        <v>84.74799999999999</v>
      </c>
      <c r="D11">
        <v>175.18600000000001</v>
      </c>
      <c r="E11">
        <f t="shared" si="1"/>
        <v>79.813999999999993</v>
      </c>
      <c r="F11">
        <f t="shared" si="2"/>
        <v>4.9339999999999975</v>
      </c>
      <c r="H11">
        <v>155.96100000000001</v>
      </c>
      <c r="I11">
        <f t="shared" si="3"/>
        <v>99.038999999999987</v>
      </c>
      <c r="J11">
        <v>240.852</v>
      </c>
      <c r="K11">
        <f t="shared" si="4"/>
        <v>14.147999999999996</v>
      </c>
      <c r="L11">
        <f t="shared" si="5"/>
        <v>84.890999999999991</v>
      </c>
      <c r="N11" s="2">
        <f t="shared" si="6"/>
        <v>5.8121591216972329E-2</v>
      </c>
    </row>
    <row r="12" spans="1:16" x14ac:dyDescent="0.2">
      <c r="A12" t="s">
        <v>134</v>
      </c>
      <c r="B12">
        <v>179.733</v>
      </c>
      <c r="C12">
        <f t="shared" si="0"/>
        <v>75.266999999999996</v>
      </c>
      <c r="D12">
        <v>186.83500000000001</v>
      </c>
      <c r="E12">
        <f t="shared" si="1"/>
        <v>68.164999999999992</v>
      </c>
      <c r="F12">
        <f t="shared" si="2"/>
        <v>7.1020000000000039</v>
      </c>
      <c r="H12">
        <v>162.28899999999999</v>
      </c>
      <c r="I12">
        <f t="shared" si="3"/>
        <v>92.711000000000013</v>
      </c>
      <c r="J12">
        <v>240.70699999999999</v>
      </c>
      <c r="K12">
        <f t="shared" si="4"/>
        <v>14.293000000000006</v>
      </c>
      <c r="L12">
        <f t="shared" si="5"/>
        <v>78.418000000000006</v>
      </c>
      <c r="N12" s="2">
        <f t="shared" si="6"/>
        <v>9.0565941493024604E-2</v>
      </c>
    </row>
    <row r="19" spans="1:15" x14ac:dyDescent="0.2">
      <c r="A19" s="1" t="s">
        <v>2</v>
      </c>
    </row>
    <row r="20" spans="1:15" x14ac:dyDescent="0.2">
      <c r="A20" t="s">
        <v>0</v>
      </c>
      <c r="B20" t="s">
        <v>1</v>
      </c>
      <c r="C20" s="1" t="s">
        <v>6</v>
      </c>
      <c r="D20" t="s">
        <v>3</v>
      </c>
      <c r="E20" s="1" t="s">
        <v>4</v>
      </c>
      <c r="F20" s="1" t="s">
        <v>119</v>
      </c>
      <c r="H20" t="s">
        <v>7</v>
      </c>
      <c r="I20" s="1" t="s">
        <v>8</v>
      </c>
      <c r="J20" t="s">
        <v>3</v>
      </c>
      <c r="K20" s="1" t="s">
        <v>4</v>
      </c>
      <c r="L20" s="1" t="s">
        <v>9</v>
      </c>
      <c r="M20" s="1"/>
      <c r="N20" s="1" t="s">
        <v>41</v>
      </c>
      <c r="O20" s="1" t="s">
        <v>13</v>
      </c>
    </row>
    <row r="21" spans="1:15" x14ac:dyDescent="0.2">
      <c r="A21">
        <v>1</v>
      </c>
      <c r="B21">
        <v>166.03899999999999</v>
      </c>
      <c r="C21">
        <f>255-B21</f>
        <v>88.961000000000013</v>
      </c>
      <c r="D21">
        <v>167.12200000000001</v>
      </c>
      <c r="E21">
        <f>255-D21</f>
        <v>87.877999999999986</v>
      </c>
      <c r="F21">
        <f>C21-E21</f>
        <v>1.0830000000000268</v>
      </c>
      <c r="H21">
        <v>171.78899999999999</v>
      </c>
      <c r="I21">
        <f>255-H21</f>
        <v>83.211000000000013</v>
      </c>
      <c r="J21">
        <v>232.98400000000001</v>
      </c>
      <c r="K21">
        <f>255-J21</f>
        <v>22.015999999999991</v>
      </c>
      <c r="L21">
        <f>I21-K21</f>
        <v>61.195000000000022</v>
      </c>
      <c r="N21" t="s">
        <v>43</v>
      </c>
      <c r="O21" s="2">
        <f>F21/L21</f>
        <v>1.7697524307541897E-2</v>
      </c>
    </row>
    <row r="22" spans="1:15" x14ac:dyDescent="0.2">
      <c r="A22">
        <v>2</v>
      </c>
      <c r="B22">
        <v>166.02199999999999</v>
      </c>
      <c r="C22">
        <f t="shared" ref="C22:C40" si="7">255-B22</f>
        <v>88.978000000000009</v>
      </c>
      <c r="D22">
        <v>172.36099999999999</v>
      </c>
      <c r="E22">
        <f t="shared" ref="E22:E40" si="8">255-D22</f>
        <v>82.63900000000001</v>
      </c>
      <c r="F22">
        <f t="shared" ref="F22:F40" si="9">C22-E22</f>
        <v>6.3389999999999986</v>
      </c>
      <c r="H22">
        <v>215.55199999999999</v>
      </c>
      <c r="I22">
        <f t="shared" ref="I22:I40" si="10">255-H22</f>
        <v>39.448000000000008</v>
      </c>
      <c r="J22">
        <v>234.03800000000001</v>
      </c>
      <c r="K22">
        <f t="shared" ref="K22:K40" si="11">255-J22</f>
        <v>20.961999999999989</v>
      </c>
      <c r="L22">
        <f t="shared" ref="L22:L39" si="12">I22-K22</f>
        <v>18.486000000000018</v>
      </c>
      <c r="N22" t="s">
        <v>44</v>
      </c>
      <c r="O22" s="2">
        <f t="shared" ref="O22:O40" si="13">F22/L22</f>
        <v>0.34290814670561465</v>
      </c>
    </row>
    <row r="23" spans="1:15" x14ac:dyDescent="0.2">
      <c r="A23">
        <v>3</v>
      </c>
      <c r="B23">
        <v>120.414</v>
      </c>
      <c r="C23">
        <f t="shared" si="7"/>
        <v>134.58600000000001</v>
      </c>
      <c r="D23">
        <v>174.16399999999999</v>
      </c>
      <c r="E23">
        <f t="shared" si="8"/>
        <v>80.836000000000013</v>
      </c>
      <c r="F23">
        <f t="shared" si="9"/>
        <v>53.75</v>
      </c>
      <c r="H23">
        <v>210.392</v>
      </c>
      <c r="I23">
        <f t="shared" si="10"/>
        <v>44.608000000000004</v>
      </c>
      <c r="J23">
        <v>234.25299999999999</v>
      </c>
      <c r="K23">
        <f t="shared" si="11"/>
        <v>20.747000000000014</v>
      </c>
      <c r="L23">
        <f t="shared" si="12"/>
        <v>23.86099999999999</v>
      </c>
      <c r="N23" t="s">
        <v>45</v>
      </c>
      <c r="O23" s="2">
        <f t="shared" si="13"/>
        <v>2.252629814341395</v>
      </c>
    </row>
    <row r="24" spans="1:15" x14ac:dyDescent="0.2">
      <c r="A24">
        <v>4</v>
      </c>
      <c r="B24">
        <v>138.136</v>
      </c>
      <c r="C24">
        <f t="shared" si="7"/>
        <v>116.864</v>
      </c>
      <c r="D24">
        <v>171.09700000000001</v>
      </c>
      <c r="E24">
        <f t="shared" si="8"/>
        <v>83.902999999999992</v>
      </c>
      <c r="F24">
        <f t="shared" si="9"/>
        <v>32.961000000000013</v>
      </c>
      <c r="H24">
        <v>209.958</v>
      </c>
      <c r="I24">
        <f t="shared" si="10"/>
        <v>45.042000000000002</v>
      </c>
      <c r="J24">
        <v>233.56800000000001</v>
      </c>
      <c r="K24">
        <f t="shared" si="11"/>
        <v>21.431999999999988</v>
      </c>
      <c r="L24">
        <f t="shared" si="12"/>
        <v>23.610000000000014</v>
      </c>
      <c r="N24" t="s">
        <v>46</v>
      </c>
      <c r="O24" s="2">
        <f t="shared" si="13"/>
        <v>1.3960609911054636</v>
      </c>
    </row>
    <row r="25" spans="1:15" x14ac:dyDescent="0.2">
      <c r="A25">
        <v>5</v>
      </c>
      <c r="B25">
        <v>165.589</v>
      </c>
      <c r="C25">
        <f t="shared" si="7"/>
        <v>89.411000000000001</v>
      </c>
      <c r="D25">
        <v>167.208</v>
      </c>
      <c r="E25">
        <f t="shared" si="8"/>
        <v>87.792000000000002</v>
      </c>
      <c r="F25">
        <f t="shared" si="9"/>
        <v>1.6189999999999998</v>
      </c>
      <c r="H25">
        <v>220.86500000000001</v>
      </c>
      <c r="I25">
        <f t="shared" si="10"/>
        <v>34.134999999999991</v>
      </c>
      <c r="J25">
        <v>233.28200000000001</v>
      </c>
      <c r="K25">
        <f t="shared" si="11"/>
        <v>21.717999999999989</v>
      </c>
      <c r="L25">
        <f t="shared" si="12"/>
        <v>12.417000000000002</v>
      </c>
      <c r="N25" t="s">
        <v>47</v>
      </c>
      <c r="O25" s="2">
        <f t="shared" si="13"/>
        <v>0.13038576145606826</v>
      </c>
    </row>
    <row r="26" spans="1:15" x14ac:dyDescent="0.2">
      <c r="A26">
        <v>6</v>
      </c>
      <c r="B26">
        <v>170.50299999999999</v>
      </c>
      <c r="C26">
        <f t="shared" si="7"/>
        <v>84.497000000000014</v>
      </c>
      <c r="D26">
        <v>172.767</v>
      </c>
      <c r="E26">
        <f t="shared" si="8"/>
        <v>82.233000000000004</v>
      </c>
      <c r="F26">
        <f t="shared" si="9"/>
        <v>2.26400000000001</v>
      </c>
      <c r="H26">
        <v>223.381</v>
      </c>
      <c r="I26">
        <f t="shared" si="10"/>
        <v>31.619</v>
      </c>
      <c r="J26">
        <v>233.541</v>
      </c>
      <c r="K26">
        <f t="shared" si="11"/>
        <v>21.459000000000003</v>
      </c>
      <c r="L26">
        <f t="shared" si="12"/>
        <v>10.159999999999997</v>
      </c>
      <c r="N26" t="s">
        <v>48</v>
      </c>
      <c r="O26" s="2">
        <f t="shared" si="13"/>
        <v>0.2228346456692924</v>
      </c>
    </row>
    <row r="27" spans="1:15" x14ac:dyDescent="0.2">
      <c r="A27">
        <v>7</v>
      </c>
      <c r="B27">
        <v>167.38900000000001</v>
      </c>
      <c r="C27">
        <f t="shared" si="7"/>
        <v>87.61099999999999</v>
      </c>
      <c r="D27">
        <v>172.08600000000001</v>
      </c>
      <c r="E27">
        <f t="shared" si="8"/>
        <v>82.913999999999987</v>
      </c>
      <c r="F27">
        <f t="shared" si="9"/>
        <v>4.6970000000000027</v>
      </c>
      <c r="H27">
        <v>230.654</v>
      </c>
      <c r="I27">
        <f t="shared" si="10"/>
        <v>24.346000000000004</v>
      </c>
      <c r="J27">
        <v>233.958</v>
      </c>
      <c r="K27">
        <f t="shared" si="11"/>
        <v>21.042000000000002</v>
      </c>
      <c r="L27">
        <f t="shared" si="12"/>
        <v>3.304000000000002</v>
      </c>
      <c r="N27" t="s">
        <v>49</v>
      </c>
      <c r="O27" s="2">
        <f t="shared" si="13"/>
        <v>1.4216101694915253</v>
      </c>
    </row>
    <row r="28" spans="1:15" x14ac:dyDescent="0.2">
      <c r="A28">
        <v>8</v>
      </c>
      <c r="B28">
        <v>167.00800000000001</v>
      </c>
      <c r="C28">
        <f t="shared" si="7"/>
        <v>87.99199999999999</v>
      </c>
      <c r="D28">
        <v>169.494</v>
      </c>
      <c r="E28">
        <f t="shared" si="8"/>
        <v>85.506</v>
      </c>
      <c r="F28">
        <f t="shared" si="9"/>
        <v>2.48599999999999</v>
      </c>
      <c r="H28">
        <v>234.00899999999999</v>
      </c>
      <c r="I28">
        <f t="shared" si="10"/>
        <v>20.991000000000014</v>
      </c>
      <c r="J28">
        <v>234.18799999999999</v>
      </c>
      <c r="K28">
        <f t="shared" si="11"/>
        <v>20.812000000000012</v>
      </c>
      <c r="L28">
        <f t="shared" si="12"/>
        <v>0.17900000000000205</v>
      </c>
      <c r="N28" t="s">
        <v>50</v>
      </c>
      <c r="O28" s="2">
        <f t="shared" si="13"/>
        <v>13.888268156424367</v>
      </c>
    </row>
    <row r="29" spans="1:15" x14ac:dyDescent="0.2">
      <c r="A29">
        <v>9</v>
      </c>
      <c r="B29">
        <v>171.577</v>
      </c>
      <c r="C29">
        <f t="shared" si="7"/>
        <v>83.423000000000002</v>
      </c>
      <c r="D29">
        <v>175.00800000000001</v>
      </c>
      <c r="E29">
        <f t="shared" si="8"/>
        <v>79.99199999999999</v>
      </c>
      <c r="F29">
        <f t="shared" si="9"/>
        <v>3.4310000000000116</v>
      </c>
      <c r="H29">
        <v>219.28800000000001</v>
      </c>
      <c r="I29">
        <f t="shared" si="10"/>
        <v>35.711999999999989</v>
      </c>
      <c r="J29">
        <v>234.517</v>
      </c>
      <c r="K29">
        <f t="shared" si="11"/>
        <v>20.483000000000004</v>
      </c>
      <c r="L29">
        <f t="shared" si="12"/>
        <v>15.228999999999985</v>
      </c>
      <c r="N29" t="s">
        <v>51</v>
      </c>
      <c r="O29" s="2">
        <f t="shared" si="13"/>
        <v>0.22529384726508733</v>
      </c>
    </row>
    <row r="30" spans="1:15" x14ac:dyDescent="0.2">
      <c r="A30">
        <v>10</v>
      </c>
      <c r="B30">
        <v>158.78100000000001</v>
      </c>
      <c r="C30">
        <f t="shared" si="7"/>
        <v>96.218999999999994</v>
      </c>
      <c r="D30">
        <v>169.05699999999999</v>
      </c>
      <c r="E30">
        <f t="shared" si="8"/>
        <v>85.943000000000012</v>
      </c>
      <c r="F30">
        <f t="shared" si="9"/>
        <v>10.275999999999982</v>
      </c>
      <c r="H30">
        <v>205.583</v>
      </c>
      <c r="I30">
        <f t="shared" si="10"/>
        <v>49.417000000000002</v>
      </c>
      <c r="J30">
        <v>235.43700000000001</v>
      </c>
      <c r="K30">
        <f t="shared" si="11"/>
        <v>19.562999999999988</v>
      </c>
      <c r="L30">
        <f t="shared" si="12"/>
        <v>29.854000000000013</v>
      </c>
      <c r="N30" t="s">
        <v>52</v>
      </c>
      <c r="O30" s="2">
        <f t="shared" si="13"/>
        <v>0.34420848127554021</v>
      </c>
    </row>
    <row r="31" spans="1:15" x14ac:dyDescent="0.2">
      <c r="A31">
        <v>11</v>
      </c>
      <c r="B31">
        <v>137.04300000000001</v>
      </c>
      <c r="C31">
        <f t="shared" si="7"/>
        <v>117.95699999999999</v>
      </c>
      <c r="D31">
        <v>159.012</v>
      </c>
      <c r="E31">
        <f t="shared" si="8"/>
        <v>95.988</v>
      </c>
      <c r="F31">
        <f t="shared" si="9"/>
        <v>21.968999999999994</v>
      </c>
      <c r="H31">
        <v>215.089</v>
      </c>
      <c r="I31">
        <f t="shared" si="10"/>
        <v>39.911000000000001</v>
      </c>
      <c r="J31">
        <v>234.28800000000001</v>
      </c>
      <c r="K31">
        <f t="shared" si="11"/>
        <v>20.711999999999989</v>
      </c>
      <c r="L31">
        <f t="shared" si="12"/>
        <v>19.199000000000012</v>
      </c>
      <c r="N31" t="s">
        <v>53</v>
      </c>
      <c r="O31" s="2">
        <f t="shared" si="13"/>
        <v>1.1442783478306151</v>
      </c>
    </row>
    <row r="32" spans="1:15" x14ac:dyDescent="0.2">
      <c r="A32">
        <v>12</v>
      </c>
      <c r="B32">
        <v>121.524</v>
      </c>
      <c r="C32">
        <f t="shared" si="7"/>
        <v>133.476</v>
      </c>
      <c r="D32">
        <v>158.077</v>
      </c>
      <c r="E32">
        <f t="shared" si="8"/>
        <v>96.923000000000002</v>
      </c>
      <c r="F32">
        <f t="shared" si="9"/>
        <v>36.552999999999997</v>
      </c>
      <c r="H32">
        <v>190.10400000000001</v>
      </c>
      <c r="I32">
        <f t="shared" si="10"/>
        <v>64.895999999999987</v>
      </c>
      <c r="J32">
        <v>233.56299999999999</v>
      </c>
      <c r="K32">
        <f t="shared" si="11"/>
        <v>21.437000000000012</v>
      </c>
      <c r="L32">
        <f t="shared" si="12"/>
        <v>43.458999999999975</v>
      </c>
      <c r="N32" t="s">
        <v>54</v>
      </c>
      <c r="O32" s="2">
        <f t="shared" si="13"/>
        <v>0.84109160358038648</v>
      </c>
    </row>
    <row r="33" spans="1:17" x14ac:dyDescent="0.2">
      <c r="A33">
        <v>13</v>
      </c>
      <c r="B33">
        <v>171.702</v>
      </c>
      <c r="C33">
        <f t="shared" si="7"/>
        <v>83.298000000000002</v>
      </c>
      <c r="D33">
        <v>171.71799999999999</v>
      </c>
      <c r="E33">
        <f t="shared" si="8"/>
        <v>83.282000000000011</v>
      </c>
      <c r="F33">
        <f>C33-E33</f>
        <v>1.5999999999991132E-2</v>
      </c>
      <c r="H33">
        <v>211.66300000000001</v>
      </c>
      <c r="I33">
        <f t="shared" si="10"/>
        <v>43.336999999999989</v>
      </c>
      <c r="J33">
        <v>233.011</v>
      </c>
      <c r="K33">
        <f t="shared" si="11"/>
        <v>21.989000000000004</v>
      </c>
      <c r="L33">
        <f t="shared" si="12"/>
        <v>21.347999999999985</v>
      </c>
      <c r="N33" t="s">
        <v>55</v>
      </c>
      <c r="O33" s="2">
        <f t="shared" si="13"/>
        <v>7.4948472924822671E-4</v>
      </c>
    </row>
    <row r="34" spans="1:17" x14ac:dyDescent="0.2">
      <c r="A34">
        <v>14</v>
      </c>
      <c r="B34">
        <v>172.547</v>
      </c>
      <c r="C34">
        <f t="shared" si="7"/>
        <v>82.453000000000003</v>
      </c>
      <c r="D34">
        <v>173.68199999999999</v>
      </c>
      <c r="E34">
        <f t="shared" si="8"/>
        <v>81.318000000000012</v>
      </c>
      <c r="F34">
        <f t="shared" si="9"/>
        <v>1.1349999999999909</v>
      </c>
      <c r="H34">
        <v>223.131</v>
      </c>
      <c r="I34">
        <f t="shared" si="10"/>
        <v>31.869</v>
      </c>
      <c r="J34">
        <v>233.70099999999999</v>
      </c>
      <c r="K34">
        <f t="shared" si="11"/>
        <v>21.299000000000007</v>
      </c>
      <c r="L34">
        <f t="shared" si="12"/>
        <v>10.569999999999993</v>
      </c>
      <c r="N34" t="s">
        <v>56</v>
      </c>
      <c r="O34" s="2">
        <f t="shared" si="13"/>
        <v>0.10737937559129533</v>
      </c>
    </row>
    <row r="35" spans="1:17" x14ac:dyDescent="0.2">
      <c r="A35">
        <v>15</v>
      </c>
      <c r="B35">
        <v>163.887</v>
      </c>
      <c r="C35">
        <f t="shared" si="7"/>
        <v>91.113</v>
      </c>
      <c r="D35">
        <v>169.923</v>
      </c>
      <c r="E35">
        <f t="shared" si="8"/>
        <v>85.076999999999998</v>
      </c>
      <c r="F35">
        <f t="shared" si="9"/>
        <v>6.0360000000000014</v>
      </c>
      <c r="H35">
        <v>218.93600000000001</v>
      </c>
      <c r="I35">
        <f t="shared" si="10"/>
        <v>36.063999999999993</v>
      </c>
      <c r="J35">
        <v>234.71600000000001</v>
      </c>
      <c r="K35">
        <f t="shared" si="11"/>
        <v>20.283999999999992</v>
      </c>
      <c r="L35">
        <f t="shared" si="12"/>
        <v>15.780000000000001</v>
      </c>
      <c r="N35" t="s">
        <v>57</v>
      </c>
      <c r="O35" s="2">
        <f t="shared" si="13"/>
        <v>0.38250950570342213</v>
      </c>
    </row>
    <row r="36" spans="1:17" x14ac:dyDescent="0.2">
      <c r="A36">
        <v>16</v>
      </c>
      <c r="B36">
        <v>172.25700000000001</v>
      </c>
      <c r="C36">
        <f t="shared" si="7"/>
        <v>82.742999999999995</v>
      </c>
      <c r="D36">
        <v>183.34200000000001</v>
      </c>
      <c r="E36">
        <f t="shared" si="8"/>
        <v>71.657999999999987</v>
      </c>
      <c r="F36">
        <f t="shared" si="9"/>
        <v>11.085000000000008</v>
      </c>
      <c r="H36">
        <v>216.357</v>
      </c>
      <c r="I36">
        <f t="shared" si="10"/>
        <v>38.643000000000001</v>
      </c>
      <c r="J36">
        <v>236.142</v>
      </c>
      <c r="K36">
        <f t="shared" si="11"/>
        <v>18.858000000000004</v>
      </c>
      <c r="L36">
        <f t="shared" si="12"/>
        <v>19.784999999999997</v>
      </c>
      <c r="N36" t="s">
        <v>58</v>
      </c>
      <c r="O36" s="2">
        <f t="shared" si="13"/>
        <v>0.56027293404094058</v>
      </c>
    </row>
    <row r="37" spans="1:17" x14ac:dyDescent="0.2">
      <c r="A37">
        <v>17</v>
      </c>
      <c r="B37">
        <v>175.60300000000001</v>
      </c>
      <c r="C37">
        <f t="shared" si="7"/>
        <v>79.396999999999991</v>
      </c>
      <c r="D37">
        <v>183.32</v>
      </c>
      <c r="E37">
        <f t="shared" si="8"/>
        <v>71.680000000000007</v>
      </c>
      <c r="F37">
        <f t="shared" si="9"/>
        <v>7.7169999999999845</v>
      </c>
      <c r="H37">
        <v>224.685</v>
      </c>
      <c r="I37">
        <f t="shared" si="10"/>
        <v>30.314999999999998</v>
      </c>
      <c r="J37">
        <v>236.69</v>
      </c>
      <c r="K37">
        <f t="shared" si="11"/>
        <v>18.310000000000002</v>
      </c>
      <c r="L37">
        <f t="shared" si="12"/>
        <v>12.004999999999995</v>
      </c>
      <c r="N37" t="s">
        <v>59</v>
      </c>
      <c r="O37" s="2">
        <f t="shared" si="13"/>
        <v>0.64281549354435552</v>
      </c>
    </row>
    <row r="38" spans="1:17" x14ac:dyDescent="0.2">
      <c r="A38">
        <v>18</v>
      </c>
      <c r="B38">
        <v>165.43899999999999</v>
      </c>
      <c r="C38">
        <f t="shared" si="7"/>
        <v>89.561000000000007</v>
      </c>
      <c r="D38">
        <v>172.47800000000001</v>
      </c>
      <c r="E38">
        <f t="shared" si="8"/>
        <v>82.521999999999991</v>
      </c>
      <c r="F38">
        <f t="shared" si="9"/>
        <v>7.0390000000000157</v>
      </c>
      <c r="H38">
        <v>206.142</v>
      </c>
      <c r="I38">
        <f t="shared" si="10"/>
        <v>48.858000000000004</v>
      </c>
      <c r="J38">
        <v>236.20400000000001</v>
      </c>
      <c r="K38">
        <f t="shared" si="11"/>
        <v>18.795999999999992</v>
      </c>
      <c r="L38">
        <f t="shared" si="12"/>
        <v>30.062000000000012</v>
      </c>
      <c r="N38" t="s">
        <v>60</v>
      </c>
      <c r="O38" s="2">
        <f t="shared" si="13"/>
        <v>0.23414942452265361</v>
      </c>
    </row>
    <row r="39" spans="1:17" x14ac:dyDescent="0.2">
      <c r="A39">
        <v>19</v>
      </c>
      <c r="B39">
        <v>142.71299999999999</v>
      </c>
      <c r="C39">
        <f t="shared" si="7"/>
        <v>112.28700000000001</v>
      </c>
      <c r="D39">
        <v>163.654</v>
      </c>
      <c r="E39">
        <f t="shared" si="8"/>
        <v>91.346000000000004</v>
      </c>
      <c r="F39">
        <f t="shared" si="9"/>
        <v>20.941000000000003</v>
      </c>
      <c r="H39">
        <v>228.51</v>
      </c>
      <c r="I39">
        <f t="shared" si="10"/>
        <v>26.490000000000009</v>
      </c>
      <c r="J39">
        <v>234.25700000000001</v>
      </c>
      <c r="K39">
        <f t="shared" si="11"/>
        <v>20.742999999999995</v>
      </c>
      <c r="L39">
        <f t="shared" si="12"/>
        <v>5.7470000000000141</v>
      </c>
      <c r="N39" t="s">
        <v>61</v>
      </c>
      <c r="O39" s="2">
        <f t="shared" si="13"/>
        <v>3.6438141639115975</v>
      </c>
    </row>
    <row r="40" spans="1:17" x14ac:dyDescent="0.2">
      <c r="A40">
        <v>20</v>
      </c>
      <c r="B40">
        <v>139.745</v>
      </c>
      <c r="C40">
        <f t="shared" si="7"/>
        <v>115.255</v>
      </c>
      <c r="D40">
        <v>156.06700000000001</v>
      </c>
      <c r="E40">
        <f t="shared" si="8"/>
        <v>98.932999999999993</v>
      </c>
      <c r="F40">
        <f t="shared" si="9"/>
        <v>16.322000000000003</v>
      </c>
      <c r="H40">
        <v>230.827</v>
      </c>
      <c r="I40">
        <f t="shared" si="10"/>
        <v>24.173000000000002</v>
      </c>
      <c r="J40">
        <v>236.14599999999999</v>
      </c>
      <c r="K40">
        <f t="shared" si="11"/>
        <v>18.854000000000013</v>
      </c>
      <c r="L40">
        <f>I40-K40</f>
        <v>5.3189999999999884</v>
      </c>
      <c r="N40" t="s">
        <v>62</v>
      </c>
      <c r="O40" s="2">
        <f t="shared" si="13"/>
        <v>3.0686219214138069</v>
      </c>
    </row>
    <row r="41" spans="1:17" x14ac:dyDescent="0.2">
      <c r="A41" t="s">
        <v>176</v>
      </c>
      <c r="O41" s="2"/>
    </row>
    <row r="42" spans="1:17" x14ac:dyDescent="0.2">
      <c r="A42" t="s">
        <v>0</v>
      </c>
      <c r="B42" t="s">
        <v>1</v>
      </c>
      <c r="C42" s="1" t="s">
        <v>6</v>
      </c>
      <c r="D42" t="s">
        <v>3</v>
      </c>
      <c r="E42" s="1" t="s">
        <v>4</v>
      </c>
      <c r="F42" s="1" t="s">
        <v>119</v>
      </c>
      <c r="H42" t="s">
        <v>7</v>
      </c>
      <c r="I42" s="1" t="s">
        <v>8</v>
      </c>
      <c r="J42" t="s">
        <v>3</v>
      </c>
      <c r="K42" s="1" t="s">
        <v>4</v>
      </c>
      <c r="L42" s="1" t="s">
        <v>9</v>
      </c>
      <c r="M42" s="1"/>
      <c r="N42" s="1" t="s">
        <v>41</v>
      </c>
      <c r="O42" s="1" t="s">
        <v>13</v>
      </c>
      <c r="Q42" s="13" t="s">
        <v>153</v>
      </c>
    </row>
    <row r="43" spans="1:17" x14ac:dyDescent="0.2">
      <c r="A43" t="s">
        <v>97</v>
      </c>
      <c r="B43">
        <v>138.05600000000001</v>
      </c>
      <c r="C43">
        <f>255-B43</f>
        <v>116.94399999999999</v>
      </c>
      <c r="D43">
        <v>143.31100000000001</v>
      </c>
      <c r="E43">
        <f>255-D43</f>
        <v>111.68899999999999</v>
      </c>
      <c r="F43">
        <f>C43-E43</f>
        <v>5.2549999999999955</v>
      </c>
      <c r="H43">
        <v>147.79</v>
      </c>
      <c r="I43">
        <f>255-H43</f>
        <v>107.21000000000001</v>
      </c>
      <c r="J43">
        <v>233.702</v>
      </c>
      <c r="K43">
        <f>255-J43</f>
        <v>21.298000000000002</v>
      </c>
      <c r="L43">
        <f>I43-K43</f>
        <v>85.912000000000006</v>
      </c>
      <c r="N43" t="s">
        <v>97</v>
      </c>
      <c r="O43" s="2">
        <f>F43/L43</f>
        <v>6.1167240897662664E-2</v>
      </c>
      <c r="P43" t="s">
        <v>146</v>
      </c>
      <c r="Q43" s="14">
        <f>O44-O43</f>
        <v>0.37570316664547654</v>
      </c>
    </row>
    <row r="44" spans="1:17" x14ac:dyDescent="0.2">
      <c r="A44" t="s">
        <v>99</v>
      </c>
      <c r="B44">
        <v>95.581000000000003</v>
      </c>
      <c r="C44">
        <f t="shared" ref="C44:C52" si="14">255-B44</f>
        <v>159.41899999999998</v>
      </c>
      <c r="D44">
        <v>143.02600000000001</v>
      </c>
      <c r="E44">
        <f t="shared" ref="E44:E52" si="15">255-D44</f>
        <v>111.97399999999999</v>
      </c>
      <c r="F44">
        <f t="shared" ref="F44:F52" si="16">C44-E44</f>
        <v>47.444999999999993</v>
      </c>
      <c r="H44">
        <v>126.081</v>
      </c>
      <c r="I44">
        <f t="shared" ref="I44:I52" si="17">255-H44</f>
        <v>128.91899999999998</v>
      </c>
      <c r="J44">
        <v>234.68299999999999</v>
      </c>
      <c r="K44">
        <f t="shared" ref="K44:K52" si="18">255-J44</f>
        <v>20.317000000000007</v>
      </c>
      <c r="L44">
        <f t="shared" ref="L44:L52" si="19">I44-K44</f>
        <v>108.60199999999998</v>
      </c>
      <c r="N44" t="s">
        <v>99</v>
      </c>
      <c r="O44" s="2">
        <f t="shared" ref="O44:O52" si="20">F44/L44</f>
        <v>0.43687040754313922</v>
      </c>
      <c r="P44" t="s">
        <v>147</v>
      </c>
      <c r="Q44" s="14">
        <f>O46-O45</f>
        <v>0.1358584325559819</v>
      </c>
    </row>
    <row r="45" spans="1:17" x14ac:dyDescent="0.2">
      <c r="A45" t="s">
        <v>101</v>
      </c>
      <c r="B45">
        <v>139.29300000000001</v>
      </c>
      <c r="C45">
        <f t="shared" si="14"/>
        <v>115.70699999999999</v>
      </c>
      <c r="D45">
        <v>142.12</v>
      </c>
      <c r="E45">
        <f t="shared" si="15"/>
        <v>112.88</v>
      </c>
      <c r="F45">
        <f t="shared" si="16"/>
        <v>2.8269999999999982</v>
      </c>
      <c r="H45">
        <v>135.13399999999999</v>
      </c>
      <c r="I45">
        <f t="shared" si="17"/>
        <v>119.86600000000001</v>
      </c>
      <c r="J45">
        <v>235.43799999999999</v>
      </c>
      <c r="K45">
        <f t="shared" si="18"/>
        <v>19.562000000000012</v>
      </c>
      <c r="L45">
        <f t="shared" si="19"/>
        <v>100.304</v>
      </c>
      <c r="N45" t="s">
        <v>101</v>
      </c>
      <c r="O45" s="2">
        <f t="shared" si="20"/>
        <v>2.8184319668208627E-2</v>
      </c>
      <c r="P45" t="s">
        <v>148</v>
      </c>
      <c r="Q45" s="14">
        <f>O48-O47</f>
        <v>0.39874753902885429</v>
      </c>
    </row>
    <row r="46" spans="1:17" x14ac:dyDescent="0.2">
      <c r="A46" t="s">
        <v>103</v>
      </c>
      <c r="B46">
        <v>124.27</v>
      </c>
      <c r="C46">
        <f t="shared" si="14"/>
        <v>130.73000000000002</v>
      </c>
      <c r="D46">
        <v>140.75399999999999</v>
      </c>
      <c r="E46">
        <f t="shared" si="15"/>
        <v>114.24600000000001</v>
      </c>
      <c r="F46">
        <f t="shared" si="16"/>
        <v>16.484000000000009</v>
      </c>
      <c r="H46">
        <v>134.108</v>
      </c>
      <c r="I46">
        <f t="shared" si="17"/>
        <v>120.892</v>
      </c>
      <c r="J46">
        <v>234.59399999999999</v>
      </c>
      <c r="K46">
        <f t="shared" si="18"/>
        <v>20.406000000000006</v>
      </c>
      <c r="L46">
        <f t="shared" si="19"/>
        <v>100.48599999999999</v>
      </c>
      <c r="N46" t="s">
        <v>103</v>
      </c>
      <c r="O46" s="2">
        <f t="shared" si="20"/>
        <v>0.16404275222419054</v>
      </c>
      <c r="P46" t="s">
        <v>149</v>
      </c>
      <c r="Q46" s="14">
        <f>O50-O49</f>
        <v>0.11513322137039739</v>
      </c>
    </row>
    <row r="47" spans="1:17" x14ac:dyDescent="0.2">
      <c r="A47" t="s">
        <v>105</v>
      </c>
      <c r="B47">
        <v>138.727</v>
      </c>
      <c r="C47">
        <f t="shared" si="14"/>
        <v>116.273</v>
      </c>
      <c r="D47">
        <v>142.02099999999999</v>
      </c>
      <c r="E47">
        <f t="shared" si="15"/>
        <v>112.97900000000001</v>
      </c>
      <c r="F47">
        <f t="shared" si="16"/>
        <v>3.2939999999999827</v>
      </c>
      <c r="H47">
        <v>134.47800000000001</v>
      </c>
      <c r="I47">
        <f t="shared" si="17"/>
        <v>120.52199999999999</v>
      </c>
      <c r="J47">
        <v>235.98099999999999</v>
      </c>
      <c r="K47">
        <f t="shared" si="18"/>
        <v>19.019000000000005</v>
      </c>
      <c r="L47">
        <f t="shared" si="19"/>
        <v>101.50299999999999</v>
      </c>
      <c r="N47" t="s">
        <v>105</v>
      </c>
      <c r="O47" s="2">
        <f t="shared" si="20"/>
        <v>3.2452242790853306E-2</v>
      </c>
      <c r="P47" t="s">
        <v>175</v>
      </c>
      <c r="Q47" s="14">
        <f>O52-O51</f>
        <v>0.74312302746740566</v>
      </c>
    </row>
    <row r="48" spans="1:17" x14ac:dyDescent="0.2">
      <c r="A48" t="s">
        <v>107</v>
      </c>
      <c r="B48">
        <v>102.015</v>
      </c>
      <c r="C48">
        <f t="shared" si="14"/>
        <v>152.98500000000001</v>
      </c>
      <c r="D48">
        <v>143.12299999999999</v>
      </c>
      <c r="E48">
        <f t="shared" si="15"/>
        <v>111.87700000000001</v>
      </c>
      <c r="F48">
        <f t="shared" si="16"/>
        <v>41.108000000000004</v>
      </c>
      <c r="H48">
        <v>140.45400000000001</v>
      </c>
      <c r="I48">
        <f t="shared" si="17"/>
        <v>114.54599999999999</v>
      </c>
      <c r="J48">
        <v>235.78800000000001</v>
      </c>
      <c r="K48">
        <f t="shared" si="18"/>
        <v>19.211999999999989</v>
      </c>
      <c r="L48">
        <f t="shared" si="19"/>
        <v>95.334000000000003</v>
      </c>
      <c r="N48" t="s">
        <v>107</v>
      </c>
      <c r="O48" s="2">
        <f t="shared" si="20"/>
        <v>0.43119978181970758</v>
      </c>
    </row>
    <row r="49" spans="1:17" x14ac:dyDescent="0.2">
      <c r="A49" t="s">
        <v>109</v>
      </c>
      <c r="B49">
        <v>99.334000000000003</v>
      </c>
      <c r="C49">
        <f t="shared" si="14"/>
        <v>155.666</v>
      </c>
      <c r="D49">
        <v>114.191</v>
      </c>
      <c r="E49">
        <f t="shared" si="15"/>
        <v>140.809</v>
      </c>
      <c r="F49">
        <f t="shared" si="16"/>
        <v>14.856999999999999</v>
      </c>
      <c r="H49">
        <v>105.76900000000001</v>
      </c>
      <c r="I49">
        <f t="shared" si="17"/>
        <v>149.23099999999999</v>
      </c>
      <c r="J49">
        <v>176.06700000000001</v>
      </c>
      <c r="K49">
        <f t="shared" si="18"/>
        <v>78.932999999999993</v>
      </c>
      <c r="L49">
        <f t="shared" si="19"/>
        <v>70.298000000000002</v>
      </c>
      <c r="N49" t="s">
        <v>109</v>
      </c>
      <c r="O49" s="2">
        <f t="shared" si="20"/>
        <v>0.2113431392073743</v>
      </c>
    </row>
    <row r="50" spans="1:17" x14ac:dyDescent="0.2">
      <c r="A50" t="s">
        <v>111</v>
      </c>
      <c r="B50">
        <v>82.24</v>
      </c>
      <c r="C50">
        <f t="shared" si="14"/>
        <v>172.76</v>
      </c>
      <c r="D50">
        <v>113.68</v>
      </c>
      <c r="E50">
        <f t="shared" si="15"/>
        <v>141.32</v>
      </c>
      <c r="F50">
        <f t="shared" si="16"/>
        <v>31.439999999999998</v>
      </c>
      <c r="H50">
        <v>79.409000000000006</v>
      </c>
      <c r="I50">
        <f t="shared" si="17"/>
        <v>175.59100000000001</v>
      </c>
      <c r="J50">
        <v>175.71</v>
      </c>
      <c r="K50">
        <f t="shared" si="18"/>
        <v>79.289999999999992</v>
      </c>
      <c r="L50">
        <f t="shared" si="19"/>
        <v>96.301000000000016</v>
      </c>
      <c r="N50" t="s">
        <v>111</v>
      </c>
      <c r="O50" s="2">
        <f t="shared" si="20"/>
        <v>0.32647636057777168</v>
      </c>
    </row>
    <row r="51" spans="1:17" x14ac:dyDescent="0.2">
      <c r="A51" t="s">
        <v>168</v>
      </c>
      <c r="B51">
        <v>109.27</v>
      </c>
      <c r="C51">
        <f t="shared" si="14"/>
        <v>145.73000000000002</v>
      </c>
      <c r="D51">
        <v>112.34</v>
      </c>
      <c r="E51">
        <f t="shared" si="15"/>
        <v>142.66</v>
      </c>
      <c r="F51">
        <f t="shared" si="16"/>
        <v>3.0700000000000216</v>
      </c>
      <c r="H51">
        <v>77.613</v>
      </c>
      <c r="I51">
        <f t="shared" si="17"/>
        <v>177.387</v>
      </c>
      <c r="J51">
        <v>173.31700000000001</v>
      </c>
      <c r="K51">
        <f t="shared" si="18"/>
        <v>81.682999999999993</v>
      </c>
      <c r="L51">
        <f t="shared" si="19"/>
        <v>95.704000000000008</v>
      </c>
      <c r="N51" t="s">
        <v>168</v>
      </c>
      <c r="O51" s="2">
        <f t="shared" si="20"/>
        <v>3.2078074061690436E-2</v>
      </c>
    </row>
    <row r="52" spans="1:17" x14ac:dyDescent="0.2">
      <c r="A52" t="s">
        <v>169</v>
      </c>
      <c r="B52">
        <v>69.367000000000004</v>
      </c>
      <c r="C52">
        <f t="shared" si="14"/>
        <v>185.63299999999998</v>
      </c>
      <c r="D52">
        <v>112.155</v>
      </c>
      <c r="E52">
        <f t="shared" si="15"/>
        <v>142.845</v>
      </c>
      <c r="F52">
        <f t="shared" si="16"/>
        <v>42.787999999999982</v>
      </c>
      <c r="H52">
        <v>120.191</v>
      </c>
      <c r="I52">
        <f t="shared" si="17"/>
        <v>134.809</v>
      </c>
      <c r="J52">
        <v>175.387</v>
      </c>
      <c r="K52">
        <f t="shared" si="18"/>
        <v>79.613</v>
      </c>
      <c r="L52">
        <f t="shared" si="19"/>
        <v>55.195999999999998</v>
      </c>
      <c r="N52" t="s">
        <v>169</v>
      </c>
      <c r="O52" s="2">
        <f t="shared" si="20"/>
        <v>0.77520110152909605</v>
      </c>
    </row>
    <row r="53" spans="1:17" x14ac:dyDescent="0.2">
      <c r="O53" s="2"/>
    </row>
    <row r="54" spans="1:17" x14ac:dyDescent="0.2">
      <c r="O54" s="2"/>
    </row>
    <row r="55" spans="1:17" x14ac:dyDescent="0.2">
      <c r="O55" s="2"/>
    </row>
    <row r="56" spans="1:17" x14ac:dyDescent="0.2">
      <c r="O56" s="2"/>
    </row>
    <row r="57" spans="1:17" x14ac:dyDescent="0.2">
      <c r="A57" s="1" t="s">
        <v>164</v>
      </c>
      <c r="O57" s="2"/>
    </row>
    <row r="58" spans="1:17" x14ac:dyDescent="0.2">
      <c r="A58" t="s">
        <v>0</v>
      </c>
      <c r="B58" t="s">
        <v>1</v>
      </c>
      <c r="C58" s="1" t="s">
        <v>6</v>
      </c>
      <c r="D58" t="s">
        <v>3</v>
      </c>
      <c r="E58" s="1" t="s">
        <v>4</v>
      </c>
      <c r="F58" s="1" t="s">
        <v>119</v>
      </c>
      <c r="H58" t="s">
        <v>7</v>
      </c>
      <c r="I58" s="1" t="s">
        <v>8</v>
      </c>
      <c r="J58" t="s">
        <v>3</v>
      </c>
      <c r="K58" s="1" t="s">
        <v>4</v>
      </c>
      <c r="L58" s="1" t="s">
        <v>9</v>
      </c>
      <c r="M58" s="1"/>
      <c r="N58" s="1" t="s">
        <v>41</v>
      </c>
      <c r="O58" s="1" t="s">
        <v>13</v>
      </c>
      <c r="Q58" s="13" t="s">
        <v>153</v>
      </c>
    </row>
    <row r="59" spans="1:17" x14ac:dyDescent="0.2">
      <c r="A59" t="s">
        <v>97</v>
      </c>
      <c r="B59">
        <v>197.09800000000001</v>
      </c>
      <c r="C59">
        <f>255-B59</f>
        <v>57.901999999999987</v>
      </c>
      <c r="D59">
        <v>202.05699999999999</v>
      </c>
      <c r="E59">
        <f>255-D59</f>
        <v>52.943000000000012</v>
      </c>
      <c r="F59">
        <f>C59-E59</f>
        <v>4.9589999999999748</v>
      </c>
      <c r="H59">
        <v>155.78100000000001</v>
      </c>
      <c r="I59">
        <f>255-H59</f>
        <v>99.218999999999994</v>
      </c>
      <c r="J59">
        <v>241.499</v>
      </c>
      <c r="K59">
        <f>255-J59</f>
        <v>13.501000000000005</v>
      </c>
      <c r="L59">
        <f>I59-K59</f>
        <v>85.717999999999989</v>
      </c>
      <c r="N59" t="s">
        <v>97</v>
      </c>
      <c r="O59" s="2">
        <f t="shared" ref="O59:O69" si="21">F59/L59</f>
        <v>5.7852493058633839E-2</v>
      </c>
      <c r="P59" t="s">
        <v>146</v>
      </c>
      <c r="Q59" s="14">
        <f>O60-O59</f>
        <v>0.55890255986663184</v>
      </c>
    </row>
    <row r="60" spans="1:17" x14ac:dyDescent="0.2">
      <c r="A60" t="s">
        <v>99</v>
      </c>
      <c r="B60">
        <v>141.613</v>
      </c>
      <c r="C60">
        <f t="shared" ref="C60:C68" si="22">255-B60</f>
        <v>113.387</v>
      </c>
      <c r="D60">
        <v>199.53</v>
      </c>
      <c r="E60">
        <f t="shared" ref="E60:E69" si="23">255-D60</f>
        <v>55.47</v>
      </c>
      <c r="F60">
        <f t="shared" ref="F60:F69" si="24">C60-E60</f>
        <v>57.917000000000002</v>
      </c>
      <c r="H60">
        <v>149.071</v>
      </c>
      <c r="I60">
        <f t="shared" ref="I60:I69" si="25">255-H60</f>
        <v>105.929</v>
      </c>
      <c r="J60">
        <v>242.977</v>
      </c>
      <c r="K60">
        <f t="shared" ref="K60:K69" si="26">255-J60</f>
        <v>12.022999999999996</v>
      </c>
      <c r="L60">
        <f t="shared" ref="L60:L69" si="27">I60-K60</f>
        <v>93.906000000000006</v>
      </c>
      <c r="N60" t="s">
        <v>99</v>
      </c>
      <c r="O60" s="2">
        <f t="shared" si="21"/>
        <v>0.61675505292526567</v>
      </c>
      <c r="P60" t="s">
        <v>147</v>
      </c>
      <c r="Q60" s="14">
        <f>O62-O61</f>
        <v>0.37063587590923136</v>
      </c>
    </row>
    <row r="61" spans="1:17" x14ac:dyDescent="0.2">
      <c r="A61" t="s">
        <v>101</v>
      </c>
      <c r="B61">
        <v>193.31200000000001</v>
      </c>
      <c r="C61">
        <f t="shared" si="22"/>
        <v>61.687999999999988</v>
      </c>
      <c r="D61">
        <v>195.85400000000001</v>
      </c>
      <c r="E61">
        <f t="shared" si="23"/>
        <v>59.145999999999987</v>
      </c>
      <c r="F61">
        <f t="shared" si="24"/>
        <v>2.5420000000000016</v>
      </c>
      <c r="H61">
        <v>174.10499999999999</v>
      </c>
      <c r="I61">
        <f t="shared" si="25"/>
        <v>80.89500000000001</v>
      </c>
      <c r="J61">
        <v>242.989</v>
      </c>
      <c r="K61">
        <f t="shared" si="26"/>
        <v>12.010999999999996</v>
      </c>
      <c r="L61">
        <f t="shared" si="27"/>
        <v>68.884000000000015</v>
      </c>
      <c r="N61" t="s">
        <v>101</v>
      </c>
      <c r="O61" s="2">
        <f t="shared" si="21"/>
        <v>3.690261889553454E-2</v>
      </c>
      <c r="P61" t="s">
        <v>148</v>
      </c>
      <c r="Q61" s="14">
        <f>O64-O63</f>
        <v>0.51365425729051928</v>
      </c>
    </row>
    <row r="62" spans="1:17" x14ac:dyDescent="0.2">
      <c r="A62" t="s">
        <v>103</v>
      </c>
      <c r="B62">
        <v>162.86000000000001</v>
      </c>
      <c r="C62">
        <f t="shared" si="22"/>
        <v>92.139999999999986</v>
      </c>
      <c r="D62">
        <v>198.67</v>
      </c>
      <c r="E62">
        <f t="shared" si="23"/>
        <v>56.330000000000013</v>
      </c>
      <c r="F62">
        <f t="shared" si="24"/>
        <v>35.809999999999974</v>
      </c>
      <c r="H62">
        <v>155.05699999999999</v>
      </c>
      <c r="I62">
        <f t="shared" si="25"/>
        <v>99.943000000000012</v>
      </c>
      <c r="J62">
        <v>242.92599999999999</v>
      </c>
      <c r="K62">
        <f t="shared" si="26"/>
        <v>12.074000000000012</v>
      </c>
      <c r="L62">
        <f t="shared" si="27"/>
        <v>87.869</v>
      </c>
      <c r="N62" t="s">
        <v>103</v>
      </c>
      <c r="O62" s="2">
        <f t="shared" si="21"/>
        <v>0.40753849480476589</v>
      </c>
      <c r="P62" t="s">
        <v>149</v>
      </c>
      <c r="Q62" s="14">
        <f>O66-O65</f>
        <v>0.38314299398355245</v>
      </c>
    </row>
    <row r="63" spans="1:17" x14ac:dyDescent="0.2">
      <c r="A63" t="s">
        <v>105</v>
      </c>
      <c r="B63">
        <v>203.11</v>
      </c>
      <c r="C63">
        <f t="shared" si="22"/>
        <v>51.889999999999986</v>
      </c>
      <c r="D63">
        <v>205.47900000000001</v>
      </c>
      <c r="E63">
        <f t="shared" si="23"/>
        <v>49.520999999999987</v>
      </c>
      <c r="F63">
        <f t="shared" si="24"/>
        <v>2.3689999999999998</v>
      </c>
      <c r="H63">
        <v>161.38200000000001</v>
      </c>
      <c r="I63">
        <f t="shared" si="25"/>
        <v>93.617999999999995</v>
      </c>
      <c r="J63">
        <v>242.99700000000001</v>
      </c>
      <c r="K63">
        <f t="shared" si="26"/>
        <v>12.002999999999986</v>
      </c>
      <c r="L63">
        <f t="shared" si="27"/>
        <v>81.615000000000009</v>
      </c>
      <c r="N63" t="s">
        <v>105</v>
      </c>
      <c r="O63" s="2">
        <f t="shared" si="21"/>
        <v>2.9026526986460816E-2</v>
      </c>
      <c r="P63" t="s">
        <v>167</v>
      </c>
      <c r="Q63" s="14">
        <f>O68-O67</f>
        <v>0.47997769254872452</v>
      </c>
    </row>
    <row r="64" spans="1:17" x14ac:dyDescent="0.2">
      <c r="A64" t="s">
        <v>107</v>
      </c>
      <c r="B64">
        <v>161.673</v>
      </c>
      <c r="C64">
        <f t="shared" si="22"/>
        <v>93.326999999999998</v>
      </c>
      <c r="D64">
        <v>208.006</v>
      </c>
      <c r="E64">
        <f t="shared" si="23"/>
        <v>46.994</v>
      </c>
      <c r="F64">
        <f t="shared" si="24"/>
        <v>46.332999999999998</v>
      </c>
      <c r="H64">
        <v>157.65</v>
      </c>
      <c r="I64">
        <f t="shared" si="25"/>
        <v>97.35</v>
      </c>
      <c r="J64">
        <v>243.02799999999999</v>
      </c>
      <c r="K64">
        <f t="shared" si="26"/>
        <v>11.972000000000008</v>
      </c>
      <c r="L64">
        <f t="shared" si="27"/>
        <v>85.377999999999986</v>
      </c>
      <c r="N64" t="s">
        <v>107</v>
      </c>
      <c r="O64" s="2">
        <f t="shared" si="21"/>
        <v>0.54268078427698008</v>
      </c>
    </row>
    <row r="65" spans="1:15" x14ac:dyDescent="0.2">
      <c r="A65" t="s">
        <v>109</v>
      </c>
      <c r="B65">
        <v>183.53</v>
      </c>
      <c r="C65">
        <f t="shared" si="22"/>
        <v>71.47</v>
      </c>
      <c r="D65">
        <v>190.78</v>
      </c>
      <c r="E65">
        <f t="shared" si="23"/>
        <v>64.22</v>
      </c>
      <c r="F65">
        <f t="shared" si="24"/>
        <v>7.25</v>
      </c>
      <c r="H65">
        <v>163.43600000000001</v>
      </c>
      <c r="I65">
        <f t="shared" si="25"/>
        <v>91.563999999999993</v>
      </c>
      <c r="J65">
        <v>239.42699999999999</v>
      </c>
      <c r="K65">
        <f t="shared" si="26"/>
        <v>15.573000000000008</v>
      </c>
      <c r="L65">
        <f t="shared" si="27"/>
        <v>75.990999999999985</v>
      </c>
      <c r="N65" t="s">
        <v>109</v>
      </c>
      <c r="O65" s="2">
        <f t="shared" si="21"/>
        <v>9.5406034925188524E-2</v>
      </c>
    </row>
    <row r="66" spans="1:15" x14ac:dyDescent="0.2">
      <c r="A66" t="s">
        <v>111</v>
      </c>
      <c r="B66">
        <v>160.583</v>
      </c>
      <c r="C66">
        <f t="shared" si="22"/>
        <v>94.417000000000002</v>
      </c>
      <c r="D66">
        <v>196.90199999999999</v>
      </c>
      <c r="E66">
        <f t="shared" si="23"/>
        <v>58.098000000000013</v>
      </c>
      <c r="F66">
        <f t="shared" si="24"/>
        <v>36.318999999999988</v>
      </c>
      <c r="H66">
        <v>165.023</v>
      </c>
      <c r="I66">
        <f t="shared" si="25"/>
        <v>89.977000000000004</v>
      </c>
      <c r="J66">
        <v>240.917</v>
      </c>
      <c r="K66">
        <f t="shared" si="26"/>
        <v>14.082999999999998</v>
      </c>
      <c r="L66">
        <f t="shared" si="27"/>
        <v>75.894000000000005</v>
      </c>
      <c r="N66" t="s">
        <v>111</v>
      </c>
      <c r="O66" s="2">
        <f t="shared" si="21"/>
        <v>0.47854902890874096</v>
      </c>
    </row>
    <row r="67" spans="1:15" x14ac:dyDescent="0.2">
      <c r="A67" t="s">
        <v>165</v>
      </c>
      <c r="B67">
        <v>193.702</v>
      </c>
      <c r="C67">
        <f t="shared" si="22"/>
        <v>61.298000000000002</v>
      </c>
      <c r="D67">
        <v>199.304</v>
      </c>
      <c r="E67">
        <f t="shared" si="23"/>
        <v>55.695999999999998</v>
      </c>
      <c r="F67">
        <f t="shared" si="24"/>
        <v>5.6020000000000039</v>
      </c>
      <c r="H67">
        <v>173.875</v>
      </c>
      <c r="I67">
        <f t="shared" si="25"/>
        <v>81.125</v>
      </c>
      <c r="J67">
        <v>241.43899999999999</v>
      </c>
      <c r="K67">
        <f t="shared" si="26"/>
        <v>13.561000000000007</v>
      </c>
      <c r="L67">
        <f t="shared" si="27"/>
        <v>67.563999999999993</v>
      </c>
      <c r="N67" t="s">
        <v>165</v>
      </c>
      <c r="O67" s="2">
        <f t="shared" si="21"/>
        <v>8.2913977858030966E-2</v>
      </c>
    </row>
    <row r="68" spans="1:15" x14ac:dyDescent="0.2">
      <c r="A68" t="s">
        <v>166</v>
      </c>
      <c r="B68">
        <v>166.911</v>
      </c>
      <c r="C68">
        <f t="shared" si="22"/>
        <v>88.088999999999999</v>
      </c>
      <c r="D68">
        <v>200.774</v>
      </c>
      <c r="E68">
        <f t="shared" si="23"/>
        <v>54.225999999999999</v>
      </c>
      <c r="F68">
        <f t="shared" si="24"/>
        <v>33.863</v>
      </c>
      <c r="H68">
        <v>180.89500000000001</v>
      </c>
      <c r="I68">
        <f t="shared" si="25"/>
        <v>74.10499999999999</v>
      </c>
      <c r="J68">
        <v>241.054</v>
      </c>
      <c r="K68">
        <f t="shared" si="26"/>
        <v>13.945999999999998</v>
      </c>
      <c r="L68">
        <f t="shared" si="27"/>
        <v>60.158999999999992</v>
      </c>
      <c r="N68" t="s">
        <v>166</v>
      </c>
      <c r="O68" s="2">
        <f t="shared" si="21"/>
        <v>0.56289167040675547</v>
      </c>
    </row>
    <row r="69" spans="1:15" x14ac:dyDescent="0.2">
      <c r="A69" t="s">
        <v>163</v>
      </c>
      <c r="B69">
        <v>127.943</v>
      </c>
      <c r="C69">
        <f>255-B69</f>
        <v>127.057</v>
      </c>
      <c r="D69">
        <v>200.49100000000001</v>
      </c>
      <c r="E69">
        <f t="shared" si="23"/>
        <v>54.508999999999986</v>
      </c>
      <c r="F69">
        <f t="shared" si="24"/>
        <v>72.548000000000016</v>
      </c>
      <c r="H69">
        <v>138.083</v>
      </c>
      <c r="I69">
        <f t="shared" si="25"/>
        <v>116.917</v>
      </c>
      <c r="J69">
        <v>242.655</v>
      </c>
      <c r="K69">
        <f t="shared" si="26"/>
        <v>12.344999999999999</v>
      </c>
      <c r="L69">
        <f t="shared" si="27"/>
        <v>104.572</v>
      </c>
      <c r="N69" t="s">
        <v>163</v>
      </c>
      <c r="O69" s="2">
        <f t="shared" si="21"/>
        <v>0.6937612362773975</v>
      </c>
    </row>
    <row r="70" spans="1:15" x14ac:dyDescent="0.2">
      <c r="O70" s="2"/>
    </row>
    <row r="71" spans="1:15" x14ac:dyDescent="0.2">
      <c r="O71" s="2"/>
    </row>
    <row r="72" spans="1:15" x14ac:dyDescent="0.2">
      <c r="O72" s="2"/>
    </row>
    <row r="73" spans="1:15" x14ac:dyDescent="0.2">
      <c r="O73" s="2"/>
    </row>
    <row r="74" spans="1:15" x14ac:dyDescent="0.2">
      <c r="O74" s="2"/>
    </row>
    <row r="75" spans="1:15" x14ac:dyDescent="0.2">
      <c r="O75" s="2"/>
    </row>
    <row r="76" spans="1:15" x14ac:dyDescent="0.2">
      <c r="O76" s="2"/>
    </row>
    <row r="77" spans="1:15" x14ac:dyDescent="0.2">
      <c r="O77" s="2"/>
    </row>
    <row r="78" spans="1:15" x14ac:dyDescent="0.2">
      <c r="O78" s="2"/>
    </row>
    <row r="79" spans="1:15" x14ac:dyDescent="0.2">
      <c r="O79" s="2"/>
    </row>
    <row r="80" spans="1:15" x14ac:dyDescent="0.2">
      <c r="A80" s="1" t="s">
        <v>10</v>
      </c>
      <c r="O80" s="2"/>
    </row>
    <row r="81" spans="1:17" x14ac:dyDescent="0.2">
      <c r="A81" t="s">
        <v>0</v>
      </c>
      <c r="B81" t="s">
        <v>1</v>
      </c>
      <c r="C81" s="1" t="s">
        <v>6</v>
      </c>
      <c r="D81" t="s">
        <v>3</v>
      </c>
      <c r="E81" s="1" t="s">
        <v>4</v>
      </c>
      <c r="F81" s="1" t="s">
        <v>5</v>
      </c>
      <c r="H81" t="s">
        <v>7</v>
      </c>
      <c r="I81" s="1" t="s">
        <v>8</v>
      </c>
      <c r="J81" t="s">
        <v>3</v>
      </c>
      <c r="K81" t="s">
        <v>4</v>
      </c>
      <c r="L81" s="1" t="s">
        <v>9</v>
      </c>
      <c r="M81" s="1"/>
      <c r="N81" s="1" t="s">
        <v>41</v>
      </c>
      <c r="O81" s="4" t="s">
        <v>14</v>
      </c>
      <c r="Q81" s="13" t="s">
        <v>155</v>
      </c>
    </row>
    <row r="82" spans="1:17" x14ac:dyDescent="0.2">
      <c r="A82">
        <v>1</v>
      </c>
      <c r="B82">
        <v>145.976</v>
      </c>
      <c r="C82">
        <f>255-B82</f>
        <v>109.024</v>
      </c>
      <c r="D82">
        <v>158.84399999999999</v>
      </c>
      <c r="E82">
        <f>255-D82</f>
        <v>96.156000000000006</v>
      </c>
      <c r="F82">
        <f>C82-E82</f>
        <v>12.867999999999995</v>
      </c>
      <c r="H82">
        <v>133.572</v>
      </c>
      <c r="I82">
        <f>255-H82</f>
        <v>121.428</v>
      </c>
      <c r="J82">
        <v>227.83799999999999</v>
      </c>
      <c r="K82">
        <f>255-J82</f>
        <v>27.162000000000006</v>
      </c>
      <c r="L82">
        <f>I82-K82</f>
        <v>94.265999999999991</v>
      </c>
      <c r="N82" t="s">
        <v>63</v>
      </c>
      <c r="O82" s="2">
        <f>F82/L82</f>
        <v>0.13650733032058215</v>
      </c>
      <c r="P82" t="s">
        <v>146</v>
      </c>
      <c r="Q82" s="15" t="s">
        <v>156</v>
      </c>
    </row>
    <row r="83" spans="1:17" x14ac:dyDescent="0.2">
      <c r="A83">
        <v>2</v>
      </c>
      <c r="B83">
        <v>134.887</v>
      </c>
      <c r="C83">
        <f t="shared" ref="C83:C99" si="28">255-B83</f>
        <v>120.113</v>
      </c>
      <c r="D83">
        <v>146.03399999999999</v>
      </c>
      <c r="E83">
        <f t="shared" ref="E83:E99" si="29">255-D83</f>
        <v>108.96600000000001</v>
      </c>
      <c r="F83">
        <f t="shared" ref="F83:F99" si="30">C83-E83</f>
        <v>11.146999999999991</v>
      </c>
      <c r="H83">
        <v>182.572</v>
      </c>
      <c r="I83">
        <f t="shared" ref="I83:I99" si="31">255-H83</f>
        <v>72.427999999999997</v>
      </c>
      <c r="J83">
        <v>230.14400000000001</v>
      </c>
      <c r="K83">
        <f t="shared" ref="K83:K99" si="32">255-J83</f>
        <v>24.855999999999995</v>
      </c>
      <c r="L83">
        <f t="shared" ref="L83:L99" si="33">I83-K83</f>
        <v>47.572000000000003</v>
      </c>
      <c r="N83" t="s">
        <v>64</v>
      </c>
      <c r="O83" s="2">
        <f t="shared" ref="O83:O99" si="34">F83/L83</f>
        <v>0.23431850668460419</v>
      </c>
      <c r="P83" t="s">
        <v>147</v>
      </c>
      <c r="Q83" s="14">
        <f>O85-O83</f>
        <v>1.1508653953882644</v>
      </c>
    </row>
    <row r="84" spans="1:17" x14ac:dyDescent="0.2">
      <c r="A84">
        <v>3</v>
      </c>
      <c r="B84">
        <v>131.13</v>
      </c>
      <c r="C84">
        <f t="shared" si="28"/>
        <v>123.87</v>
      </c>
      <c r="D84">
        <v>135.65199999999999</v>
      </c>
      <c r="E84">
        <f t="shared" si="29"/>
        <v>119.34800000000001</v>
      </c>
      <c r="F84">
        <f t="shared" si="30"/>
        <v>4.5219999999999914</v>
      </c>
      <c r="H84">
        <v>185.11500000000001</v>
      </c>
      <c r="I84">
        <f t="shared" si="31"/>
        <v>69.884999999999991</v>
      </c>
      <c r="J84">
        <v>229.82499999999999</v>
      </c>
      <c r="K84">
        <f t="shared" si="32"/>
        <v>25.175000000000011</v>
      </c>
      <c r="L84">
        <f t="shared" si="33"/>
        <v>44.70999999999998</v>
      </c>
      <c r="N84" t="s">
        <v>65</v>
      </c>
      <c r="O84" s="2">
        <f t="shared" si="34"/>
        <v>0.10114068441064625</v>
      </c>
      <c r="P84" t="s">
        <v>148</v>
      </c>
      <c r="Q84" s="14">
        <f>O89-O87</f>
        <v>0.61754973699602778</v>
      </c>
    </row>
    <row r="85" spans="1:17" x14ac:dyDescent="0.2">
      <c r="A85">
        <v>4</v>
      </c>
      <c r="B85">
        <v>88.153999999999996</v>
      </c>
      <c r="C85">
        <f t="shared" si="28"/>
        <v>166.846</v>
      </c>
      <c r="D85">
        <v>136.13399999999999</v>
      </c>
      <c r="E85">
        <f t="shared" si="29"/>
        <v>118.86600000000001</v>
      </c>
      <c r="F85">
        <f t="shared" si="30"/>
        <v>47.97999999999999</v>
      </c>
      <c r="H85">
        <v>193.08</v>
      </c>
      <c r="I85">
        <f t="shared" si="31"/>
        <v>61.919999999999987</v>
      </c>
      <c r="J85">
        <v>227.71799999999999</v>
      </c>
      <c r="K85">
        <f t="shared" si="32"/>
        <v>27.282000000000011</v>
      </c>
      <c r="L85">
        <f t="shared" si="33"/>
        <v>34.637999999999977</v>
      </c>
      <c r="N85" t="s">
        <v>66</v>
      </c>
      <c r="O85" s="2">
        <f t="shared" si="34"/>
        <v>1.3851839020728687</v>
      </c>
      <c r="P85" t="s">
        <v>149</v>
      </c>
      <c r="Q85" s="14">
        <f>O93-O91</f>
        <v>0.74401092809706326</v>
      </c>
    </row>
    <row r="86" spans="1:17" x14ac:dyDescent="0.2">
      <c r="A86">
        <v>5</v>
      </c>
      <c r="B86">
        <v>99.082999999999998</v>
      </c>
      <c r="C86">
        <f t="shared" si="28"/>
        <v>155.917</v>
      </c>
      <c r="D86">
        <v>141.45099999999999</v>
      </c>
      <c r="E86">
        <f t="shared" si="29"/>
        <v>113.54900000000001</v>
      </c>
      <c r="F86">
        <f t="shared" si="30"/>
        <v>42.367999999999995</v>
      </c>
      <c r="H86">
        <v>188.33500000000001</v>
      </c>
      <c r="I86">
        <f t="shared" si="31"/>
        <v>66.664999999999992</v>
      </c>
      <c r="J86">
        <v>227.251</v>
      </c>
      <c r="K86">
        <f t="shared" si="32"/>
        <v>27.748999999999995</v>
      </c>
      <c r="L86">
        <f t="shared" si="33"/>
        <v>38.915999999999997</v>
      </c>
      <c r="N86" t="s">
        <v>67</v>
      </c>
      <c r="O86" s="2">
        <f t="shared" si="34"/>
        <v>1.0887038750128482</v>
      </c>
      <c r="P86" t="s">
        <v>154</v>
      </c>
      <c r="Q86" s="14">
        <f>O98-O96</f>
        <v>0.46708985236433626</v>
      </c>
    </row>
    <row r="87" spans="1:17" x14ac:dyDescent="0.2">
      <c r="A87">
        <v>6</v>
      </c>
      <c r="B87">
        <v>132.828</v>
      </c>
      <c r="C87">
        <f t="shared" si="28"/>
        <v>122.172</v>
      </c>
      <c r="D87">
        <v>144.702</v>
      </c>
      <c r="E87">
        <f t="shared" si="29"/>
        <v>110.298</v>
      </c>
      <c r="F87">
        <f t="shared" si="30"/>
        <v>11.873999999999995</v>
      </c>
      <c r="H87">
        <v>161.39500000000001</v>
      </c>
      <c r="I87">
        <f t="shared" si="31"/>
        <v>93.60499999999999</v>
      </c>
      <c r="J87">
        <v>227.84700000000001</v>
      </c>
      <c r="K87">
        <f t="shared" si="32"/>
        <v>27.152999999999992</v>
      </c>
      <c r="L87">
        <f t="shared" si="33"/>
        <v>66.451999999999998</v>
      </c>
      <c r="N87" t="s">
        <v>68</v>
      </c>
      <c r="O87" s="2">
        <f t="shared" si="34"/>
        <v>0.17868536688135792</v>
      </c>
    </row>
    <row r="88" spans="1:17" x14ac:dyDescent="0.2">
      <c r="A88">
        <v>7</v>
      </c>
      <c r="B88">
        <v>137.72499999999999</v>
      </c>
      <c r="C88">
        <f t="shared" si="28"/>
        <v>117.27500000000001</v>
      </c>
      <c r="D88">
        <v>144.94300000000001</v>
      </c>
      <c r="E88">
        <f t="shared" si="29"/>
        <v>110.05699999999999</v>
      </c>
      <c r="F88">
        <f t="shared" si="30"/>
        <v>7.2180000000000177</v>
      </c>
      <c r="H88">
        <v>174.548</v>
      </c>
      <c r="I88">
        <f t="shared" si="31"/>
        <v>80.451999999999998</v>
      </c>
      <c r="J88">
        <v>228.80699999999999</v>
      </c>
      <c r="K88">
        <f t="shared" si="32"/>
        <v>26.193000000000012</v>
      </c>
      <c r="L88">
        <f t="shared" si="33"/>
        <v>54.258999999999986</v>
      </c>
      <c r="N88" t="s">
        <v>69</v>
      </c>
      <c r="O88" s="2">
        <f t="shared" si="34"/>
        <v>0.13302862197976409</v>
      </c>
    </row>
    <row r="89" spans="1:17" x14ac:dyDescent="0.2">
      <c r="A89">
        <v>8</v>
      </c>
      <c r="B89">
        <v>113.235</v>
      </c>
      <c r="C89">
        <f t="shared" si="28"/>
        <v>141.76499999999999</v>
      </c>
      <c r="D89">
        <v>158.536</v>
      </c>
      <c r="E89">
        <f t="shared" si="29"/>
        <v>96.463999999999999</v>
      </c>
      <c r="F89">
        <f t="shared" si="30"/>
        <v>45.300999999999988</v>
      </c>
      <c r="H89">
        <v>172.268</v>
      </c>
      <c r="I89">
        <f t="shared" si="31"/>
        <v>82.731999999999999</v>
      </c>
      <c r="J89">
        <v>229.16200000000001</v>
      </c>
      <c r="K89">
        <f t="shared" si="32"/>
        <v>25.837999999999994</v>
      </c>
      <c r="L89">
        <f t="shared" si="33"/>
        <v>56.894000000000005</v>
      </c>
      <c r="N89" t="s">
        <v>70</v>
      </c>
      <c r="O89" s="2">
        <f t="shared" si="34"/>
        <v>0.79623510387738572</v>
      </c>
    </row>
    <row r="90" spans="1:17" x14ac:dyDescent="0.2">
      <c r="A90">
        <v>9</v>
      </c>
      <c r="B90">
        <v>144.506</v>
      </c>
      <c r="C90">
        <f t="shared" si="28"/>
        <v>110.494</v>
      </c>
      <c r="D90">
        <v>168.26900000000001</v>
      </c>
      <c r="E90">
        <f t="shared" si="29"/>
        <v>86.730999999999995</v>
      </c>
      <c r="F90">
        <f t="shared" si="30"/>
        <v>23.763000000000005</v>
      </c>
      <c r="H90">
        <v>163.76499999999999</v>
      </c>
      <c r="I90">
        <f t="shared" si="31"/>
        <v>91.235000000000014</v>
      </c>
      <c r="J90">
        <v>230.10400000000001</v>
      </c>
      <c r="K90">
        <f t="shared" si="32"/>
        <v>24.895999999999987</v>
      </c>
      <c r="L90">
        <f t="shared" si="33"/>
        <v>66.339000000000027</v>
      </c>
      <c r="N90" t="s">
        <v>71</v>
      </c>
      <c r="O90" s="2">
        <f t="shared" si="34"/>
        <v>0.35820558042780259</v>
      </c>
    </row>
    <row r="91" spans="1:17" x14ac:dyDescent="0.2">
      <c r="A91">
        <v>10</v>
      </c>
      <c r="B91">
        <v>185.119</v>
      </c>
      <c r="C91">
        <f t="shared" si="28"/>
        <v>69.881</v>
      </c>
      <c r="D91">
        <v>194.84399999999999</v>
      </c>
      <c r="E91">
        <f t="shared" si="29"/>
        <v>60.156000000000006</v>
      </c>
      <c r="F91">
        <f t="shared" si="30"/>
        <v>9.7249999999999943</v>
      </c>
      <c r="H91">
        <v>159.60300000000001</v>
      </c>
      <c r="I91">
        <f t="shared" si="31"/>
        <v>95.396999999999991</v>
      </c>
      <c r="J91">
        <v>230.255</v>
      </c>
      <c r="K91">
        <f t="shared" si="32"/>
        <v>24.745000000000005</v>
      </c>
      <c r="L91">
        <f t="shared" si="33"/>
        <v>70.651999999999987</v>
      </c>
      <c r="N91" s="5" t="s">
        <v>72</v>
      </c>
      <c r="O91" s="2">
        <f t="shared" si="34"/>
        <v>0.1376464926682896</v>
      </c>
    </row>
    <row r="92" spans="1:17" x14ac:dyDescent="0.2">
      <c r="A92">
        <v>11</v>
      </c>
      <c r="B92">
        <v>175.38499999999999</v>
      </c>
      <c r="C92">
        <f t="shared" si="28"/>
        <v>79.615000000000009</v>
      </c>
      <c r="D92">
        <v>182.239</v>
      </c>
      <c r="E92">
        <f t="shared" si="29"/>
        <v>72.760999999999996</v>
      </c>
      <c r="F92">
        <f t="shared" si="30"/>
        <v>6.8540000000000134</v>
      </c>
      <c r="H92">
        <v>167.62299999999999</v>
      </c>
      <c r="I92">
        <f t="shared" si="31"/>
        <v>87.37700000000001</v>
      </c>
      <c r="J92">
        <v>230.614</v>
      </c>
      <c r="K92">
        <f t="shared" si="32"/>
        <v>24.385999999999996</v>
      </c>
      <c r="L92">
        <f t="shared" si="33"/>
        <v>62.991000000000014</v>
      </c>
      <c r="N92" s="5" t="s">
        <v>73</v>
      </c>
      <c r="O92" s="2">
        <f t="shared" si="34"/>
        <v>0.10880919496436017</v>
      </c>
    </row>
    <row r="93" spans="1:17" x14ac:dyDescent="0.2">
      <c r="A93">
        <v>12</v>
      </c>
      <c r="B93">
        <v>111.02</v>
      </c>
      <c r="C93">
        <f t="shared" si="28"/>
        <v>143.98000000000002</v>
      </c>
      <c r="D93">
        <v>170.3</v>
      </c>
      <c r="E93">
        <f t="shared" si="29"/>
        <v>84.699999999999989</v>
      </c>
      <c r="F93">
        <f t="shared" si="30"/>
        <v>59.28000000000003</v>
      </c>
      <c r="H93">
        <v>163.43700000000001</v>
      </c>
      <c r="I93">
        <f t="shared" si="31"/>
        <v>91.562999999999988</v>
      </c>
      <c r="J93">
        <v>230.67400000000001</v>
      </c>
      <c r="K93">
        <f t="shared" si="32"/>
        <v>24.325999999999993</v>
      </c>
      <c r="L93">
        <f t="shared" si="33"/>
        <v>67.236999999999995</v>
      </c>
      <c r="N93" s="5" t="s">
        <v>74</v>
      </c>
      <c r="O93" s="2">
        <f t="shared" si="34"/>
        <v>0.88165742076535292</v>
      </c>
    </row>
    <row r="94" spans="1:17" x14ac:dyDescent="0.2">
      <c r="A94">
        <v>13</v>
      </c>
      <c r="B94">
        <v>121.565</v>
      </c>
      <c r="C94">
        <f t="shared" si="28"/>
        <v>133.435</v>
      </c>
      <c r="D94">
        <v>172.29400000000001</v>
      </c>
      <c r="E94">
        <f t="shared" si="29"/>
        <v>82.705999999999989</v>
      </c>
      <c r="F94">
        <f t="shared" si="30"/>
        <v>50.729000000000013</v>
      </c>
      <c r="H94">
        <v>172.40600000000001</v>
      </c>
      <c r="I94">
        <f t="shared" si="31"/>
        <v>82.593999999999994</v>
      </c>
      <c r="J94">
        <v>228.64699999999999</v>
      </c>
      <c r="K94">
        <f t="shared" si="32"/>
        <v>26.353000000000009</v>
      </c>
      <c r="L94">
        <f t="shared" si="33"/>
        <v>56.240999999999985</v>
      </c>
      <c r="N94" s="5" t="s">
        <v>75</v>
      </c>
      <c r="O94" s="2">
        <f t="shared" si="34"/>
        <v>0.90199320780213765</v>
      </c>
    </row>
    <row r="95" spans="1:17" x14ac:dyDescent="0.2">
      <c r="A95">
        <v>14</v>
      </c>
      <c r="B95">
        <v>93.734999999999999</v>
      </c>
      <c r="C95">
        <f t="shared" si="28"/>
        <v>161.26499999999999</v>
      </c>
      <c r="D95">
        <v>167.50399999999999</v>
      </c>
      <c r="E95">
        <f t="shared" si="29"/>
        <v>87.496000000000009</v>
      </c>
      <c r="F95">
        <f t="shared" si="30"/>
        <v>73.768999999999977</v>
      </c>
      <c r="H95">
        <v>164.81399999999999</v>
      </c>
      <c r="I95">
        <f t="shared" si="31"/>
        <v>90.186000000000007</v>
      </c>
      <c r="J95">
        <v>227.79599999999999</v>
      </c>
      <c r="K95">
        <f t="shared" si="32"/>
        <v>27.204000000000008</v>
      </c>
      <c r="L95">
        <f t="shared" si="33"/>
        <v>62.981999999999999</v>
      </c>
      <c r="N95" s="5" t="s">
        <v>76</v>
      </c>
      <c r="O95" s="2">
        <f t="shared" si="34"/>
        <v>1.1712711568384615</v>
      </c>
    </row>
    <row r="96" spans="1:17" x14ac:dyDescent="0.2">
      <c r="A96">
        <v>15</v>
      </c>
      <c r="B96">
        <v>168.05500000000001</v>
      </c>
      <c r="C96">
        <f t="shared" si="28"/>
        <v>86.944999999999993</v>
      </c>
      <c r="D96">
        <v>172.577</v>
      </c>
      <c r="E96">
        <f t="shared" si="29"/>
        <v>82.423000000000002</v>
      </c>
      <c r="F96">
        <f t="shared" si="30"/>
        <v>4.5219999999999914</v>
      </c>
      <c r="H96">
        <v>191.61600000000001</v>
      </c>
      <c r="I96">
        <f t="shared" si="31"/>
        <v>63.383999999999986</v>
      </c>
      <c r="J96">
        <v>228.798</v>
      </c>
      <c r="K96">
        <f t="shared" si="32"/>
        <v>26.201999999999998</v>
      </c>
      <c r="L96">
        <f t="shared" si="33"/>
        <v>37.181999999999988</v>
      </c>
      <c r="N96" s="5" t="s">
        <v>77</v>
      </c>
      <c r="O96" s="2">
        <f t="shared" si="34"/>
        <v>0.12161798719810642</v>
      </c>
    </row>
    <row r="97" spans="1:19" x14ac:dyDescent="0.2">
      <c r="A97">
        <v>16</v>
      </c>
      <c r="B97">
        <v>175.16</v>
      </c>
      <c r="C97">
        <f t="shared" si="28"/>
        <v>79.84</v>
      </c>
      <c r="D97">
        <v>179.73500000000001</v>
      </c>
      <c r="E97">
        <f t="shared" si="29"/>
        <v>75.264999999999986</v>
      </c>
      <c r="F97">
        <f t="shared" si="30"/>
        <v>4.5750000000000171</v>
      </c>
      <c r="H97">
        <v>190.58500000000001</v>
      </c>
      <c r="I97">
        <f t="shared" si="31"/>
        <v>64.414999999999992</v>
      </c>
      <c r="J97">
        <v>229.268</v>
      </c>
      <c r="K97">
        <f t="shared" si="32"/>
        <v>25.731999999999999</v>
      </c>
      <c r="L97">
        <f t="shared" si="33"/>
        <v>38.682999999999993</v>
      </c>
      <c r="N97" s="5" t="s">
        <v>78</v>
      </c>
      <c r="O97" s="2">
        <f t="shared" si="34"/>
        <v>0.11826900705736416</v>
      </c>
    </row>
    <row r="98" spans="1:19" x14ac:dyDescent="0.2">
      <c r="A98">
        <v>17</v>
      </c>
      <c r="B98">
        <v>167.441</v>
      </c>
      <c r="C98">
        <f t="shared" si="28"/>
        <v>87.558999999999997</v>
      </c>
      <c r="D98">
        <v>188.107</v>
      </c>
      <c r="E98">
        <f t="shared" si="29"/>
        <v>66.893000000000001</v>
      </c>
      <c r="F98">
        <f t="shared" si="30"/>
        <v>20.665999999999997</v>
      </c>
      <c r="H98">
        <v>194.92</v>
      </c>
      <c r="I98">
        <f t="shared" si="31"/>
        <v>60.080000000000013</v>
      </c>
      <c r="J98">
        <v>230.024</v>
      </c>
      <c r="K98">
        <f t="shared" si="32"/>
        <v>24.975999999999999</v>
      </c>
      <c r="L98">
        <f t="shared" si="33"/>
        <v>35.104000000000013</v>
      </c>
      <c r="N98" s="5" t="s">
        <v>79</v>
      </c>
      <c r="O98" s="2">
        <f t="shared" si="34"/>
        <v>0.58870783956244266</v>
      </c>
    </row>
    <row r="99" spans="1:19" x14ac:dyDescent="0.2">
      <c r="A99">
        <v>18</v>
      </c>
      <c r="B99">
        <v>176.31800000000001</v>
      </c>
      <c r="C99">
        <f t="shared" si="28"/>
        <v>78.681999999999988</v>
      </c>
      <c r="D99">
        <v>193.75299999999999</v>
      </c>
      <c r="E99">
        <f t="shared" si="29"/>
        <v>61.247000000000014</v>
      </c>
      <c r="F99">
        <f t="shared" si="30"/>
        <v>17.434999999999974</v>
      </c>
      <c r="H99">
        <v>194.27099999999999</v>
      </c>
      <c r="I99">
        <f t="shared" si="31"/>
        <v>60.729000000000013</v>
      </c>
      <c r="J99">
        <v>230.94499999999999</v>
      </c>
      <c r="K99">
        <f t="shared" si="32"/>
        <v>24.055000000000007</v>
      </c>
      <c r="L99">
        <f t="shared" si="33"/>
        <v>36.674000000000007</v>
      </c>
      <c r="N99" s="5" t="s">
        <v>80</v>
      </c>
      <c r="O99" s="2">
        <f t="shared" si="34"/>
        <v>0.47540491901619597</v>
      </c>
    </row>
    <row r="100" spans="1:19" x14ac:dyDescent="0.2">
      <c r="O100" s="2"/>
    </row>
    <row r="101" spans="1:19" x14ac:dyDescent="0.2">
      <c r="O101" s="2"/>
    </row>
    <row r="102" spans="1:19" x14ac:dyDescent="0.2">
      <c r="A102" s="1" t="s">
        <v>11</v>
      </c>
      <c r="O102" s="2"/>
    </row>
    <row r="103" spans="1:19" x14ac:dyDescent="0.2">
      <c r="A103" t="s">
        <v>0</v>
      </c>
      <c r="B103" t="s">
        <v>1</v>
      </c>
      <c r="C103" s="1" t="s">
        <v>6</v>
      </c>
      <c r="D103" t="s">
        <v>3</v>
      </c>
      <c r="E103" s="1" t="s">
        <v>4</v>
      </c>
      <c r="F103" s="1" t="s">
        <v>5</v>
      </c>
      <c r="H103" t="s">
        <v>7</v>
      </c>
      <c r="I103" s="1" t="s">
        <v>8</v>
      </c>
      <c r="J103" t="s">
        <v>3</v>
      </c>
      <c r="K103" t="s">
        <v>4</v>
      </c>
      <c r="L103" s="1" t="s">
        <v>9</v>
      </c>
      <c r="M103" s="1"/>
      <c r="P103" t="s">
        <v>41</v>
      </c>
      <c r="Q103" s="2" t="s">
        <v>14</v>
      </c>
      <c r="S103" s="13" t="s">
        <v>153</v>
      </c>
    </row>
    <row r="104" spans="1:19" x14ac:dyDescent="0.2">
      <c r="A104">
        <v>1</v>
      </c>
      <c r="B104">
        <v>192.21299999999999</v>
      </c>
      <c r="C104">
        <f>255-B104</f>
        <v>62.787000000000006</v>
      </c>
      <c r="D104">
        <v>197.52799999999999</v>
      </c>
      <c r="E104">
        <f>255-D104</f>
        <v>57.472000000000008</v>
      </c>
      <c r="F104">
        <f>C104-E104</f>
        <v>5.3149999999999977</v>
      </c>
      <c r="H104">
        <v>210.10300000000001</v>
      </c>
      <c r="I104">
        <f>255-H104</f>
        <v>44.896999999999991</v>
      </c>
      <c r="J104">
        <v>227.17099999999999</v>
      </c>
      <c r="K104">
        <f>255-J104</f>
        <v>27.829000000000008</v>
      </c>
      <c r="L104">
        <f>I104-K104</f>
        <v>17.067999999999984</v>
      </c>
      <c r="P104" s="3" t="s">
        <v>15</v>
      </c>
      <c r="Q104" s="2">
        <f t="shared" ref="Q104:Q129" si="35">F104/L104</f>
        <v>0.31140145301148364</v>
      </c>
      <c r="R104" t="s">
        <v>157</v>
      </c>
      <c r="S104" s="14">
        <f>Q106-Table1[[#This Row],[LC3II:GAPDH]]</f>
        <v>0.31474756829272293</v>
      </c>
    </row>
    <row r="105" spans="1:19" x14ac:dyDescent="0.2">
      <c r="A105">
        <v>2</v>
      </c>
      <c r="B105">
        <v>192.346</v>
      </c>
      <c r="C105">
        <f t="shared" ref="C105:C129" si="36">255-B105</f>
        <v>62.653999999999996</v>
      </c>
      <c r="D105">
        <v>196.91499999999999</v>
      </c>
      <c r="E105">
        <f t="shared" ref="E105:E129" si="37">255-D105</f>
        <v>58.085000000000008</v>
      </c>
      <c r="F105">
        <f t="shared" ref="F105:F129" si="38">C105-E105</f>
        <v>4.5689999999999884</v>
      </c>
      <c r="H105">
        <v>197.60499999999999</v>
      </c>
      <c r="I105">
        <f t="shared" ref="I105:I129" si="39">255-H105</f>
        <v>57.39500000000001</v>
      </c>
      <c r="J105">
        <v>227.43</v>
      </c>
      <c r="K105">
        <f t="shared" ref="K105:K129" si="40">255-J105</f>
        <v>27.569999999999993</v>
      </c>
      <c r="L105">
        <f t="shared" ref="L105:L129" si="41">I105-K105</f>
        <v>29.825000000000017</v>
      </c>
      <c r="P105" s="3" t="s">
        <v>16</v>
      </c>
      <c r="Q105" s="2">
        <f t="shared" si="35"/>
        <v>0.15319362950544796</v>
      </c>
      <c r="R105" t="s">
        <v>147</v>
      </c>
      <c r="S105" s="14">
        <f>Q111-Q109</f>
        <v>0.19706871485020533</v>
      </c>
    </row>
    <row r="106" spans="1:19" x14ac:dyDescent="0.2">
      <c r="A106">
        <v>3</v>
      </c>
      <c r="B106">
        <v>177.81</v>
      </c>
      <c r="C106">
        <f t="shared" si="36"/>
        <v>77.19</v>
      </c>
      <c r="D106">
        <v>195.18</v>
      </c>
      <c r="E106">
        <f t="shared" si="37"/>
        <v>59.819999999999993</v>
      </c>
      <c r="F106">
        <f t="shared" si="38"/>
        <v>17.370000000000005</v>
      </c>
      <c r="H106">
        <v>198.982</v>
      </c>
      <c r="I106">
        <f t="shared" si="39"/>
        <v>56.018000000000001</v>
      </c>
      <c r="J106">
        <v>226.72300000000001</v>
      </c>
      <c r="K106">
        <f t="shared" si="40"/>
        <v>28.276999999999987</v>
      </c>
      <c r="L106">
        <f t="shared" si="41"/>
        <v>27.741000000000014</v>
      </c>
      <c r="P106" s="3" t="s">
        <v>17</v>
      </c>
      <c r="Q106" s="2">
        <f t="shared" si="35"/>
        <v>0.62614902130420658</v>
      </c>
      <c r="R106" t="s">
        <v>148</v>
      </c>
      <c r="S106" s="14">
        <f>Q115-Q113</f>
        <v>0.36549796190327599</v>
      </c>
    </row>
    <row r="107" spans="1:19" x14ac:dyDescent="0.2">
      <c r="A107">
        <v>4</v>
      </c>
      <c r="B107">
        <v>178.53</v>
      </c>
      <c r="C107">
        <f t="shared" si="36"/>
        <v>76.47</v>
      </c>
      <c r="D107">
        <v>193.22300000000001</v>
      </c>
      <c r="E107">
        <f t="shared" si="37"/>
        <v>61.776999999999987</v>
      </c>
      <c r="F107">
        <f t="shared" si="38"/>
        <v>14.693000000000012</v>
      </c>
      <c r="H107">
        <v>194.173</v>
      </c>
      <c r="I107">
        <f t="shared" si="39"/>
        <v>60.826999999999998</v>
      </c>
      <c r="J107">
        <v>225.72900000000001</v>
      </c>
      <c r="K107">
        <f t="shared" si="40"/>
        <v>29.270999999999987</v>
      </c>
      <c r="L107">
        <f t="shared" si="41"/>
        <v>31.556000000000012</v>
      </c>
      <c r="P107" s="3" t="s">
        <v>18</v>
      </c>
      <c r="Q107" s="2">
        <f t="shared" si="35"/>
        <v>0.46561668145519097</v>
      </c>
      <c r="R107" t="s">
        <v>149</v>
      </c>
      <c r="S107" s="14">
        <f>Q119-Q117</f>
        <v>0.10066798907906534</v>
      </c>
    </row>
    <row r="108" spans="1:19" x14ac:dyDescent="0.2">
      <c r="A108">
        <v>5</v>
      </c>
      <c r="B108">
        <v>157.97200000000001</v>
      </c>
      <c r="C108">
        <f t="shared" si="36"/>
        <v>97.027999999999992</v>
      </c>
      <c r="D108">
        <v>193.595</v>
      </c>
      <c r="E108">
        <f t="shared" si="37"/>
        <v>61.405000000000001</v>
      </c>
      <c r="F108">
        <f t="shared" si="38"/>
        <v>35.62299999999999</v>
      </c>
      <c r="H108">
        <v>191.63900000000001</v>
      </c>
      <c r="I108">
        <f t="shared" si="39"/>
        <v>63.36099999999999</v>
      </c>
      <c r="J108">
        <v>225.62100000000001</v>
      </c>
      <c r="K108">
        <f t="shared" si="40"/>
        <v>29.378999999999991</v>
      </c>
      <c r="L108">
        <f t="shared" si="41"/>
        <v>33.981999999999999</v>
      </c>
      <c r="P108" s="3" t="s">
        <v>40</v>
      </c>
      <c r="Q108" s="2">
        <f t="shared" si="35"/>
        <v>1.0482902713201103</v>
      </c>
      <c r="R108" t="s">
        <v>154</v>
      </c>
      <c r="S108" s="14">
        <f>Q123-Q121</f>
        <v>0.34523726373353558</v>
      </c>
    </row>
    <row r="109" spans="1:19" x14ac:dyDescent="0.2">
      <c r="A109">
        <v>6</v>
      </c>
      <c r="B109">
        <v>194.19</v>
      </c>
      <c r="C109">
        <f t="shared" si="36"/>
        <v>60.81</v>
      </c>
      <c r="D109">
        <v>197.34200000000001</v>
      </c>
      <c r="E109">
        <f t="shared" si="37"/>
        <v>57.657999999999987</v>
      </c>
      <c r="F109">
        <f t="shared" si="38"/>
        <v>3.1520000000000152</v>
      </c>
      <c r="H109">
        <v>201.48099999999999</v>
      </c>
      <c r="I109">
        <f t="shared" si="39"/>
        <v>53.519000000000005</v>
      </c>
      <c r="J109">
        <v>225.785</v>
      </c>
      <c r="K109">
        <f t="shared" si="40"/>
        <v>29.215000000000003</v>
      </c>
      <c r="L109">
        <f t="shared" si="41"/>
        <v>24.304000000000002</v>
      </c>
      <c r="P109" s="3" t="s">
        <v>19</v>
      </c>
      <c r="Q109" s="2">
        <f t="shared" si="35"/>
        <v>0.12969058591178467</v>
      </c>
      <c r="R109" t="s">
        <v>158</v>
      </c>
      <c r="S109" s="14">
        <f>Q127-Q125</f>
        <v>0.14939750455852946</v>
      </c>
    </row>
    <row r="110" spans="1:19" x14ac:dyDescent="0.2">
      <c r="A110">
        <v>7</v>
      </c>
      <c r="B110">
        <v>195.69399999999999</v>
      </c>
      <c r="C110">
        <f t="shared" si="36"/>
        <v>59.306000000000012</v>
      </c>
      <c r="D110">
        <v>201.62799999999999</v>
      </c>
      <c r="E110">
        <f t="shared" si="37"/>
        <v>53.372000000000014</v>
      </c>
      <c r="F110">
        <f t="shared" si="38"/>
        <v>5.9339999999999975</v>
      </c>
      <c r="H110">
        <v>204.233</v>
      </c>
      <c r="I110">
        <f t="shared" si="39"/>
        <v>50.766999999999996</v>
      </c>
      <c r="J110">
        <v>226.381</v>
      </c>
      <c r="K110">
        <f t="shared" si="40"/>
        <v>28.619</v>
      </c>
      <c r="L110">
        <f t="shared" si="41"/>
        <v>22.147999999999996</v>
      </c>
      <c r="P110" s="3" t="s">
        <v>20</v>
      </c>
      <c r="Q110" s="2">
        <f t="shared" si="35"/>
        <v>0.26792486906266927</v>
      </c>
    </row>
    <row r="111" spans="1:19" x14ac:dyDescent="0.2">
      <c r="A111">
        <v>8</v>
      </c>
      <c r="B111">
        <v>191.577</v>
      </c>
      <c r="C111">
        <f t="shared" si="36"/>
        <v>63.423000000000002</v>
      </c>
      <c r="D111">
        <v>203.97</v>
      </c>
      <c r="E111">
        <f t="shared" si="37"/>
        <v>51.03</v>
      </c>
      <c r="F111">
        <f t="shared" si="38"/>
        <v>12.393000000000001</v>
      </c>
      <c r="H111">
        <v>189.18199999999999</v>
      </c>
      <c r="I111">
        <f t="shared" si="39"/>
        <v>65.818000000000012</v>
      </c>
      <c r="J111">
        <v>227.10900000000001</v>
      </c>
      <c r="K111">
        <f t="shared" si="40"/>
        <v>27.890999999999991</v>
      </c>
      <c r="L111">
        <f t="shared" si="41"/>
        <v>37.927000000000021</v>
      </c>
      <c r="P111" s="3" t="s">
        <v>21</v>
      </c>
      <c r="Q111" s="2">
        <f t="shared" si="35"/>
        <v>0.32675930076199</v>
      </c>
    </row>
    <row r="112" spans="1:19" x14ac:dyDescent="0.2">
      <c r="A112">
        <v>9</v>
      </c>
      <c r="B112">
        <v>194.90899999999999</v>
      </c>
      <c r="C112">
        <f t="shared" si="36"/>
        <v>60.091000000000008</v>
      </c>
      <c r="D112">
        <v>206.304</v>
      </c>
      <c r="E112">
        <f t="shared" si="37"/>
        <v>48.695999999999998</v>
      </c>
      <c r="F112">
        <f t="shared" si="38"/>
        <v>11.39500000000001</v>
      </c>
      <c r="H112">
        <v>199.685</v>
      </c>
      <c r="I112">
        <f t="shared" si="39"/>
        <v>55.314999999999998</v>
      </c>
      <c r="J112">
        <v>228.29900000000001</v>
      </c>
      <c r="K112">
        <f t="shared" si="40"/>
        <v>26.700999999999993</v>
      </c>
      <c r="L112">
        <f t="shared" si="41"/>
        <v>28.614000000000004</v>
      </c>
      <c r="P112" s="3" t="s">
        <v>22</v>
      </c>
      <c r="Q112" s="2">
        <f t="shared" si="35"/>
        <v>0.39823163486405289</v>
      </c>
    </row>
    <row r="113" spans="1:17" x14ac:dyDescent="0.2">
      <c r="A113">
        <v>10</v>
      </c>
      <c r="B113">
        <v>198.89500000000001</v>
      </c>
      <c r="C113">
        <f t="shared" si="36"/>
        <v>56.10499999999999</v>
      </c>
      <c r="D113">
        <v>199.93700000000001</v>
      </c>
      <c r="E113">
        <f t="shared" si="37"/>
        <v>55.062999999999988</v>
      </c>
      <c r="F113">
        <f t="shared" si="38"/>
        <v>1.0420000000000016</v>
      </c>
      <c r="H113">
        <v>183.52799999999999</v>
      </c>
      <c r="I113">
        <f t="shared" si="39"/>
        <v>71.472000000000008</v>
      </c>
      <c r="J113">
        <v>229.73599999999999</v>
      </c>
      <c r="K113">
        <f t="shared" si="40"/>
        <v>25.26400000000001</v>
      </c>
      <c r="L113">
        <f t="shared" si="41"/>
        <v>46.207999999999998</v>
      </c>
      <c r="P113" s="3" t="s">
        <v>23</v>
      </c>
      <c r="Q113" s="2">
        <f t="shared" si="35"/>
        <v>2.2550207756232721E-2</v>
      </c>
    </row>
    <row r="114" spans="1:17" x14ac:dyDescent="0.2">
      <c r="A114">
        <v>11</v>
      </c>
      <c r="B114">
        <v>191.37700000000001</v>
      </c>
      <c r="C114">
        <f t="shared" si="36"/>
        <v>63.62299999999999</v>
      </c>
      <c r="D114">
        <v>191.58099999999999</v>
      </c>
      <c r="E114">
        <f t="shared" si="37"/>
        <v>63.419000000000011</v>
      </c>
      <c r="F114">
        <f t="shared" si="38"/>
        <v>0.20399999999997931</v>
      </c>
      <c r="H114">
        <v>198.81800000000001</v>
      </c>
      <c r="I114">
        <f t="shared" si="39"/>
        <v>56.181999999999988</v>
      </c>
      <c r="J114">
        <v>229.52500000000001</v>
      </c>
      <c r="K114">
        <f t="shared" si="40"/>
        <v>25.474999999999994</v>
      </c>
      <c r="L114">
        <f t="shared" si="41"/>
        <v>30.706999999999994</v>
      </c>
      <c r="P114" s="3" t="s">
        <v>24</v>
      </c>
      <c r="Q114" s="2">
        <f t="shared" si="35"/>
        <v>6.6434363500172391E-3</v>
      </c>
    </row>
    <row r="115" spans="1:17" x14ac:dyDescent="0.2">
      <c r="A115">
        <v>12</v>
      </c>
      <c r="B115">
        <v>167.767</v>
      </c>
      <c r="C115">
        <f t="shared" si="36"/>
        <v>87.233000000000004</v>
      </c>
      <c r="D115">
        <v>182.33199999999999</v>
      </c>
      <c r="E115">
        <f t="shared" si="37"/>
        <v>72.668000000000006</v>
      </c>
      <c r="F115">
        <f t="shared" si="38"/>
        <v>14.564999999999998</v>
      </c>
      <c r="H115">
        <v>192.386</v>
      </c>
      <c r="I115">
        <f t="shared" si="39"/>
        <v>62.614000000000004</v>
      </c>
      <c r="J115">
        <v>229.92</v>
      </c>
      <c r="K115">
        <f t="shared" si="40"/>
        <v>25.080000000000013</v>
      </c>
      <c r="L115">
        <f t="shared" si="41"/>
        <v>37.533999999999992</v>
      </c>
      <c r="P115" s="3" t="s">
        <v>25</v>
      </c>
      <c r="Q115" s="2">
        <f t="shared" si="35"/>
        <v>0.38804816965950872</v>
      </c>
    </row>
    <row r="116" spans="1:17" x14ac:dyDescent="0.2">
      <c r="A116">
        <v>13</v>
      </c>
      <c r="B116">
        <v>170.56299999999999</v>
      </c>
      <c r="C116">
        <f t="shared" si="36"/>
        <v>84.437000000000012</v>
      </c>
      <c r="D116">
        <v>177.35599999999999</v>
      </c>
      <c r="E116">
        <f t="shared" si="37"/>
        <v>77.644000000000005</v>
      </c>
      <c r="F116">
        <f t="shared" si="38"/>
        <v>6.7930000000000064</v>
      </c>
      <c r="H116">
        <v>202.83799999999999</v>
      </c>
      <c r="I116">
        <f t="shared" si="39"/>
        <v>52.162000000000006</v>
      </c>
      <c r="J116">
        <v>225.91399999999999</v>
      </c>
      <c r="K116">
        <f t="shared" si="40"/>
        <v>29.086000000000013</v>
      </c>
      <c r="L116">
        <f t="shared" si="41"/>
        <v>23.075999999999993</v>
      </c>
      <c r="P116" s="3" t="s">
        <v>26</v>
      </c>
      <c r="Q116" s="2">
        <f t="shared" si="35"/>
        <v>0.29437510833766722</v>
      </c>
    </row>
    <row r="117" spans="1:17" x14ac:dyDescent="0.2">
      <c r="A117">
        <v>14</v>
      </c>
      <c r="B117">
        <v>183.06899999999999</v>
      </c>
      <c r="C117">
        <f t="shared" si="36"/>
        <v>71.931000000000012</v>
      </c>
      <c r="D117">
        <v>184.358</v>
      </c>
      <c r="E117">
        <f t="shared" si="37"/>
        <v>70.641999999999996</v>
      </c>
      <c r="F117">
        <f t="shared" si="38"/>
        <v>1.2890000000000157</v>
      </c>
      <c r="H117">
        <v>210.749</v>
      </c>
      <c r="I117">
        <f t="shared" si="39"/>
        <v>44.251000000000005</v>
      </c>
      <c r="J117">
        <v>224.02199999999999</v>
      </c>
      <c r="K117">
        <f t="shared" si="40"/>
        <v>30.978000000000009</v>
      </c>
      <c r="L117">
        <f t="shared" si="41"/>
        <v>13.272999999999996</v>
      </c>
      <c r="P117" s="3" t="s">
        <v>27</v>
      </c>
      <c r="Q117" s="2">
        <f t="shared" si="35"/>
        <v>9.711444285391517E-2</v>
      </c>
    </row>
    <row r="118" spans="1:17" x14ac:dyDescent="0.2">
      <c r="A118">
        <v>15</v>
      </c>
      <c r="B118">
        <v>190.62799999999999</v>
      </c>
      <c r="C118">
        <f t="shared" si="36"/>
        <v>64.372000000000014</v>
      </c>
      <c r="D118">
        <v>194.87899999999999</v>
      </c>
      <c r="E118">
        <f t="shared" si="37"/>
        <v>60.121000000000009</v>
      </c>
      <c r="F118">
        <f t="shared" si="38"/>
        <v>4.2510000000000048</v>
      </c>
      <c r="H118">
        <v>187.86699999999999</v>
      </c>
      <c r="I118">
        <f t="shared" si="39"/>
        <v>67.13300000000001</v>
      </c>
      <c r="J118">
        <v>223.20400000000001</v>
      </c>
      <c r="K118">
        <f t="shared" si="40"/>
        <v>31.795999999999992</v>
      </c>
      <c r="L118">
        <f t="shared" si="41"/>
        <v>35.337000000000018</v>
      </c>
      <c r="P118" s="3" t="s">
        <v>28</v>
      </c>
      <c r="Q118" s="2">
        <f t="shared" si="35"/>
        <v>0.1202988369131506</v>
      </c>
    </row>
    <row r="119" spans="1:17" x14ac:dyDescent="0.2">
      <c r="A119">
        <v>16</v>
      </c>
      <c r="B119">
        <v>187.2</v>
      </c>
      <c r="C119">
        <f t="shared" si="36"/>
        <v>67.800000000000011</v>
      </c>
      <c r="D119">
        <v>195.227</v>
      </c>
      <c r="E119">
        <f t="shared" si="37"/>
        <v>59.772999999999996</v>
      </c>
      <c r="F119">
        <f t="shared" si="38"/>
        <v>8.0270000000000152</v>
      </c>
      <c r="H119">
        <v>184.845</v>
      </c>
      <c r="I119">
        <f t="shared" si="39"/>
        <v>70.155000000000001</v>
      </c>
      <c r="J119">
        <v>225.43</v>
      </c>
      <c r="K119">
        <f t="shared" si="40"/>
        <v>29.569999999999993</v>
      </c>
      <c r="L119">
        <f t="shared" si="41"/>
        <v>40.585000000000008</v>
      </c>
      <c r="P119" s="3" t="s">
        <v>29</v>
      </c>
      <c r="Q119" s="2">
        <f t="shared" si="35"/>
        <v>0.19778243193298051</v>
      </c>
    </row>
    <row r="120" spans="1:17" x14ac:dyDescent="0.2">
      <c r="A120">
        <v>17</v>
      </c>
      <c r="B120">
        <v>198.935</v>
      </c>
      <c r="C120">
        <f t="shared" si="36"/>
        <v>56.064999999999998</v>
      </c>
      <c r="D120">
        <v>203.15</v>
      </c>
      <c r="E120">
        <f t="shared" si="37"/>
        <v>51.849999999999994</v>
      </c>
      <c r="F120">
        <f t="shared" si="38"/>
        <v>4.2150000000000034</v>
      </c>
      <c r="H120">
        <v>194.94499999999999</v>
      </c>
      <c r="I120">
        <f t="shared" si="39"/>
        <v>60.055000000000007</v>
      </c>
      <c r="J120">
        <v>229.75200000000001</v>
      </c>
      <c r="K120">
        <f t="shared" si="40"/>
        <v>25.24799999999999</v>
      </c>
      <c r="L120">
        <f t="shared" si="41"/>
        <v>34.807000000000016</v>
      </c>
      <c r="P120" s="3" t="s">
        <v>30</v>
      </c>
      <c r="Q120" s="2">
        <f t="shared" si="35"/>
        <v>0.12109633119774763</v>
      </c>
    </row>
    <row r="121" spans="1:17" x14ac:dyDescent="0.2">
      <c r="A121">
        <v>18</v>
      </c>
      <c r="B121">
        <v>215.71700000000001</v>
      </c>
      <c r="C121">
        <f t="shared" si="36"/>
        <v>39.282999999999987</v>
      </c>
      <c r="D121">
        <v>217.976</v>
      </c>
      <c r="E121">
        <f t="shared" si="37"/>
        <v>37.024000000000001</v>
      </c>
      <c r="F121">
        <f t="shared" si="38"/>
        <v>2.2589999999999861</v>
      </c>
      <c r="H121">
        <v>162.608</v>
      </c>
      <c r="I121">
        <f t="shared" si="39"/>
        <v>92.391999999999996</v>
      </c>
      <c r="J121">
        <v>230.2</v>
      </c>
      <c r="K121">
        <f t="shared" si="40"/>
        <v>24.800000000000011</v>
      </c>
      <c r="L121">
        <f t="shared" si="41"/>
        <v>67.591999999999985</v>
      </c>
      <c r="P121" s="3" t="s">
        <v>31</v>
      </c>
      <c r="Q121" s="2">
        <f t="shared" si="35"/>
        <v>3.3421114924842982E-2</v>
      </c>
    </row>
    <row r="122" spans="1:17" x14ac:dyDescent="0.2">
      <c r="A122">
        <v>19</v>
      </c>
      <c r="B122">
        <v>214.393</v>
      </c>
      <c r="C122">
        <f t="shared" si="36"/>
        <v>40.606999999999999</v>
      </c>
      <c r="D122">
        <v>217.14</v>
      </c>
      <c r="E122">
        <f t="shared" si="37"/>
        <v>37.860000000000014</v>
      </c>
      <c r="F122">
        <f t="shared" si="38"/>
        <v>2.7469999999999857</v>
      </c>
      <c r="H122">
        <v>182.619</v>
      </c>
      <c r="I122">
        <f t="shared" si="39"/>
        <v>72.381</v>
      </c>
      <c r="J122">
        <v>230.239</v>
      </c>
      <c r="K122">
        <f t="shared" si="40"/>
        <v>24.760999999999996</v>
      </c>
      <c r="L122">
        <f t="shared" si="41"/>
        <v>47.620000000000005</v>
      </c>
      <c r="P122" s="3" t="s">
        <v>32</v>
      </c>
      <c r="Q122" s="2">
        <f t="shared" si="35"/>
        <v>5.7685846283074035E-2</v>
      </c>
    </row>
    <row r="123" spans="1:17" x14ac:dyDescent="0.2">
      <c r="A123">
        <v>20</v>
      </c>
      <c r="B123">
        <v>192.10499999999999</v>
      </c>
      <c r="C123">
        <f t="shared" si="36"/>
        <v>62.89500000000001</v>
      </c>
      <c r="D123">
        <v>211.11099999999999</v>
      </c>
      <c r="E123">
        <f t="shared" si="37"/>
        <v>43.88900000000001</v>
      </c>
      <c r="F123">
        <f t="shared" si="38"/>
        <v>19.006</v>
      </c>
      <c r="H123">
        <v>177.90199999999999</v>
      </c>
      <c r="I123">
        <f t="shared" si="39"/>
        <v>77.098000000000013</v>
      </c>
      <c r="J123">
        <v>228.095</v>
      </c>
      <c r="K123">
        <f t="shared" si="40"/>
        <v>26.905000000000001</v>
      </c>
      <c r="L123">
        <f t="shared" si="41"/>
        <v>50.193000000000012</v>
      </c>
      <c r="P123" s="3" t="s">
        <v>33</v>
      </c>
      <c r="Q123" s="2">
        <f t="shared" si="35"/>
        <v>0.37865837865837859</v>
      </c>
    </row>
    <row r="124" spans="1:17" x14ac:dyDescent="0.2">
      <c r="A124">
        <v>21</v>
      </c>
      <c r="B124">
        <v>188.95099999999999</v>
      </c>
      <c r="C124">
        <f t="shared" si="36"/>
        <v>66.049000000000007</v>
      </c>
      <c r="D124">
        <v>206.65</v>
      </c>
      <c r="E124">
        <f t="shared" si="37"/>
        <v>48.349999999999994</v>
      </c>
      <c r="F124">
        <f t="shared" si="38"/>
        <v>17.699000000000012</v>
      </c>
      <c r="H124">
        <v>174.57400000000001</v>
      </c>
      <c r="I124">
        <f t="shared" si="39"/>
        <v>80.425999999999988</v>
      </c>
      <c r="J124">
        <v>227.86500000000001</v>
      </c>
      <c r="K124">
        <f t="shared" si="40"/>
        <v>27.134999999999991</v>
      </c>
      <c r="L124">
        <f t="shared" si="41"/>
        <v>53.290999999999997</v>
      </c>
      <c r="P124" s="3" t="s">
        <v>34</v>
      </c>
      <c r="Q124" s="2">
        <f t="shared" si="35"/>
        <v>0.3321198701469294</v>
      </c>
    </row>
    <row r="125" spans="1:17" x14ac:dyDescent="0.2">
      <c r="A125">
        <v>22</v>
      </c>
      <c r="B125">
        <v>200.08500000000001</v>
      </c>
      <c r="C125">
        <f t="shared" si="36"/>
        <v>54.914999999999992</v>
      </c>
      <c r="D125">
        <v>205.22499999999999</v>
      </c>
      <c r="E125">
        <f t="shared" si="37"/>
        <v>49.775000000000006</v>
      </c>
      <c r="F125">
        <f t="shared" si="38"/>
        <v>5.1399999999999864</v>
      </c>
      <c r="H125">
        <v>189.774</v>
      </c>
      <c r="I125">
        <f t="shared" si="39"/>
        <v>65.225999999999999</v>
      </c>
      <c r="J125">
        <v>228.61600000000001</v>
      </c>
      <c r="K125">
        <f t="shared" si="40"/>
        <v>26.383999999999986</v>
      </c>
      <c r="L125">
        <f t="shared" si="41"/>
        <v>38.842000000000013</v>
      </c>
      <c r="P125" s="3" t="s">
        <v>35</v>
      </c>
      <c r="Q125" s="2">
        <f t="shared" si="35"/>
        <v>0.13233098192677989</v>
      </c>
    </row>
    <row r="126" spans="1:17" x14ac:dyDescent="0.2">
      <c r="A126">
        <v>23</v>
      </c>
      <c r="B126">
        <v>198.28100000000001</v>
      </c>
      <c r="C126">
        <f t="shared" si="36"/>
        <v>56.718999999999994</v>
      </c>
      <c r="D126">
        <v>202.184</v>
      </c>
      <c r="E126">
        <f t="shared" si="37"/>
        <v>52.816000000000003</v>
      </c>
      <c r="F126">
        <f t="shared" si="38"/>
        <v>3.9029999999999916</v>
      </c>
      <c r="H126">
        <v>190.86</v>
      </c>
      <c r="I126">
        <f t="shared" si="39"/>
        <v>64.139999999999986</v>
      </c>
      <c r="J126">
        <v>229.512</v>
      </c>
      <c r="K126">
        <f t="shared" si="40"/>
        <v>25.488</v>
      </c>
      <c r="L126">
        <f t="shared" si="41"/>
        <v>38.651999999999987</v>
      </c>
      <c r="P126" s="3" t="s">
        <v>36</v>
      </c>
      <c r="Q126" s="2">
        <f t="shared" si="35"/>
        <v>0.10097795715616249</v>
      </c>
    </row>
    <row r="127" spans="1:17" x14ac:dyDescent="0.2">
      <c r="A127">
        <v>24</v>
      </c>
      <c r="B127">
        <v>190.40100000000001</v>
      </c>
      <c r="C127">
        <f t="shared" si="36"/>
        <v>64.59899999999999</v>
      </c>
      <c r="D127">
        <v>203.33600000000001</v>
      </c>
      <c r="E127">
        <f t="shared" si="37"/>
        <v>51.663999999999987</v>
      </c>
      <c r="F127">
        <f t="shared" si="38"/>
        <v>12.935000000000002</v>
      </c>
      <c r="H127">
        <v>183.93600000000001</v>
      </c>
      <c r="I127">
        <f t="shared" si="39"/>
        <v>71.063999999999993</v>
      </c>
      <c r="J127">
        <v>229.84899999999999</v>
      </c>
      <c r="K127">
        <f t="shared" si="40"/>
        <v>25.15100000000001</v>
      </c>
      <c r="L127">
        <f t="shared" si="41"/>
        <v>45.912999999999982</v>
      </c>
      <c r="P127" s="3" t="s">
        <v>37</v>
      </c>
      <c r="Q127" s="2">
        <f t="shared" si="35"/>
        <v>0.28172848648530935</v>
      </c>
    </row>
    <row r="128" spans="1:17" x14ac:dyDescent="0.2">
      <c r="A128">
        <v>25</v>
      </c>
      <c r="B128">
        <v>198.29599999999999</v>
      </c>
      <c r="C128">
        <f t="shared" si="36"/>
        <v>56.704000000000008</v>
      </c>
      <c r="D128">
        <v>207.518</v>
      </c>
      <c r="E128">
        <f t="shared" si="37"/>
        <v>47.481999999999999</v>
      </c>
      <c r="F128">
        <f t="shared" si="38"/>
        <v>9.2220000000000084</v>
      </c>
      <c r="H128">
        <v>190.18799999999999</v>
      </c>
      <c r="I128">
        <f t="shared" si="39"/>
        <v>64.812000000000012</v>
      </c>
      <c r="J128">
        <v>230.929</v>
      </c>
      <c r="K128">
        <f t="shared" si="40"/>
        <v>24.070999999999998</v>
      </c>
      <c r="L128">
        <f t="shared" si="41"/>
        <v>40.741000000000014</v>
      </c>
      <c r="P128" s="3" t="s">
        <v>38</v>
      </c>
      <c r="Q128" s="2">
        <f t="shared" si="35"/>
        <v>0.22635674136619144</v>
      </c>
    </row>
    <row r="129" spans="1:17" x14ac:dyDescent="0.2">
      <c r="A129">
        <v>26</v>
      </c>
      <c r="B129">
        <v>210.10300000000001</v>
      </c>
      <c r="C129">
        <f t="shared" si="36"/>
        <v>44.896999999999991</v>
      </c>
      <c r="D129">
        <v>215.14400000000001</v>
      </c>
      <c r="E129">
        <f t="shared" si="37"/>
        <v>39.855999999999995</v>
      </c>
      <c r="F129">
        <f t="shared" si="38"/>
        <v>5.0409999999999968</v>
      </c>
      <c r="H129">
        <v>142.887</v>
      </c>
      <c r="I129">
        <f t="shared" si="39"/>
        <v>112.113</v>
      </c>
      <c r="J129">
        <v>231.53200000000001</v>
      </c>
      <c r="K129">
        <f t="shared" si="40"/>
        <v>23.467999999999989</v>
      </c>
      <c r="L129">
        <f t="shared" si="41"/>
        <v>88.64500000000001</v>
      </c>
      <c r="P129" s="3" t="s">
        <v>39</v>
      </c>
      <c r="Q129" s="2">
        <f t="shared" si="35"/>
        <v>5.686727959839806E-2</v>
      </c>
    </row>
    <row r="130" spans="1:17" x14ac:dyDescent="0.2">
      <c r="O130" s="2"/>
    </row>
    <row r="131" spans="1:17" x14ac:dyDescent="0.2">
      <c r="O131" s="2"/>
    </row>
    <row r="132" spans="1:17" x14ac:dyDescent="0.2">
      <c r="A132" s="1" t="s">
        <v>12</v>
      </c>
      <c r="O132" s="2"/>
    </row>
    <row r="133" spans="1:17" x14ac:dyDescent="0.2">
      <c r="A133" t="s">
        <v>0</v>
      </c>
      <c r="B133" t="s">
        <v>1</v>
      </c>
      <c r="C133" s="1" t="s">
        <v>6</v>
      </c>
      <c r="D133" t="s">
        <v>3</v>
      </c>
      <c r="E133" s="1" t="s">
        <v>4</v>
      </c>
      <c r="F133" s="1" t="s">
        <v>5</v>
      </c>
      <c r="H133" t="s">
        <v>7</v>
      </c>
      <c r="I133" s="1" t="s">
        <v>8</v>
      </c>
      <c r="J133" t="s">
        <v>3</v>
      </c>
      <c r="K133" t="s">
        <v>4</v>
      </c>
      <c r="L133" s="1" t="s">
        <v>9</v>
      </c>
      <c r="M133" s="1"/>
      <c r="N133" s="1" t="s">
        <v>41</v>
      </c>
      <c r="O133" s="2" t="s">
        <v>172</v>
      </c>
      <c r="Q133" s="13" t="s">
        <v>153</v>
      </c>
    </row>
    <row r="134" spans="1:17" x14ac:dyDescent="0.2">
      <c r="A134">
        <v>1</v>
      </c>
      <c r="B134">
        <v>147.85599999999999</v>
      </c>
      <c r="C134">
        <f>255-B134</f>
        <v>107.14400000000001</v>
      </c>
      <c r="D134">
        <v>155.601</v>
      </c>
      <c r="E134">
        <f>255-D134</f>
        <v>99.399000000000001</v>
      </c>
      <c r="F134">
        <f>C134-E134</f>
        <v>7.7450000000000045</v>
      </c>
      <c r="H134">
        <v>156.53</v>
      </c>
      <c r="I134">
        <f>255-H134</f>
        <v>98.47</v>
      </c>
      <c r="J134">
        <v>231.703</v>
      </c>
      <c r="K134">
        <f>255-J134</f>
        <v>23.296999999999997</v>
      </c>
      <c r="L134">
        <f>I134-K134</f>
        <v>75.173000000000002</v>
      </c>
      <c r="N134" t="s">
        <v>81</v>
      </c>
      <c r="O134" s="2">
        <f>F134/L134</f>
        <v>0.10302901307650358</v>
      </c>
      <c r="P134" t="s">
        <v>146</v>
      </c>
      <c r="Q134" s="14">
        <f>O136-O134</f>
        <v>1.0070140760849151</v>
      </c>
    </row>
    <row r="135" spans="1:17" x14ac:dyDescent="0.2">
      <c r="A135">
        <v>2</v>
      </c>
      <c r="B135">
        <v>132.68799999999999</v>
      </c>
      <c r="C135">
        <f t="shared" ref="C135:C148" si="42">255-B135</f>
        <v>122.31200000000001</v>
      </c>
      <c r="D135">
        <v>140.67599999999999</v>
      </c>
      <c r="E135">
        <f t="shared" ref="E135:E149" si="43">255-D135</f>
        <v>114.32400000000001</v>
      </c>
      <c r="F135">
        <f t="shared" ref="F135:F148" si="44">C135-E135</f>
        <v>7.9879999999999995</v>
      </c>
      <c r="H135">
        <v>183.53700000000001</v>
      </c>
      <c r="I135">
        <f t="shared" ref="I135:I149" si="45">255-H135</f>
        <v>71.462999999999994</v>
      </c>
      <c r="J135">
        <v>230.572</v>
      </c>
      <c r="K135">
        <f t="shared" ref="K135:K149" si="46">255-J135</f>
        <v>24.427999999999997</v>
      </c>
      <c r="L135">
        <f t="shared" ref="L135:L149" si="47">I135-K135</f>
        <v>47.034999999999997</v>
      </c>
      <c r="N135" t="s">
        <v>82</v>
      </c>
      <c r="O135" s="2">
        <f t="shared" ref="O135:O149" si="48">F135/L135</f>
        <v>0.16983097693207186</v>
      </c>
      <c r="P135" t="s">
        <v>147</v>
      </c>
      <c r="Q135" s="14">
        <f>O140-O138</f>
        <v>1.4028038902833078</v>
      </c>
    </row>
    <row r="136" spans="1:17" x14ac:dyDescent="0.2">
      <c r="A136">
        <v>3</v>
      </c>
      <c r="B136">
        <v>75.716999999999999</v>
      </c>
      <c r="C136">
        <f t="shared" si="42"/>
        <v>179.28300000000002</v>
      </c>
      <c r="D136">
        <v>115.905</v>
      </c>
      <c r="E136">
        <f t="shared" si="43"/>
        <v>139.095</v>
      </c>
      <c r="F136">
        <f t="shared" si="44"/>
        <v>40.188000000000017</v>
      </c>
      <c r="H136">
        <v>193.745</v>
      </c>
      <c r="I136">
        <f t="shared" si="45"/>
        <v>61.254999999999995</v>
      </c>
      <c r="J136">
        <v>229.94900000000001</v>
      </c>
      <c r="K136">
        <f t="shared" si="46"/>
        <v>25.050999999999988</v>
      </c>
      <c r="L136">
        <f t="shared" si="47"/>
        <v>36.204000000000008</v>
      </c>
      <c r="N136" t="s">
        <v>83</v>
      </c>
      <c r="O136" s="2">
        <f t="shared" si="48"/>
        <v>1.1100430891614188</v>
      </c>
      <c r="P136" t="s">
        <v>148</v>
      </c>
      <c r="Q136" s="14">
        <f>O144-O142</f>
        <v>0.79604514627689849</v>
      </c>
    </row>
    <row r="137" spans="1:17" x14ac:dyDescent="0.2">
      <c r="A137">
        <v>4</v>
      </c>
      <c r="B137">
        <v>88.212999999999994</v>
      </c>
      <c r="C137">
        <f t="shared" si="42"/>
        <v>166.78700000000001</v>
      </c>
      <c r="D137">
        <v>109.411</v>
      </c>
      <c r="E137">
        <f t="shared" si="43"/>
        <v>145.589</v>
      </c>
      <c r="F137">
        <f t="shared" si="44"/>
        <v>21.198000000000008</v>
      </c>
      <c r="H137">
        <v>196.386</v>
      </c>
      <c r="I137">
        <f t="shared" si="45"/>
        <v>58.614000000000004</v>
      </c>
      <c r="J137">
        <v>230.16399999999999</v>
      </c>
      <c r="K137">
        <f t="shared" si="46"/>
        <v>24.836000000000013</v>
      </c>
      <c r="L137">
        <f t="shared" si="47"/>
        <v>33.777999999999992</v>
      </c>
      <c r="N137" t="s">
        <v>84</v>
      </c>
      <c r="O137" s="2">
        <f>F137/L137</f>
        <v>0.62756823968263409</v>
      </c>
      <c r="P137" t="s">
        <v>149</v>
      </c>
      <c r="Q137" s="14">
        <f>O148-O146</f>
        <v>0.56047138580407008</v>
      </c>
    </row>
    <row r="138" spans="1:17" x14ac:dyDescent="0.2">
      <c r="A138">
        <v>5</v>
      </c>
      <c r="B138">
        <v>132.56100000000001</v>
      </c>
      <c r="C138">
        <f t="shared" si="42"/>
        <v>122.43899999999999</v>
      </c>
      <c r="D138">
        <v>138.411</v>
      </c>
      <c r="E138">
        <f t="shared" si="43"/>
        <v>116.589</v>
      </c>
      <c r="F138">
        <f t="shared" si="44"/>
        <v>5.8499999999999943</v>
      </c>
      <c r="H138">
        <v>188.87100000000001</v>
      </c>
      <c r="I138">
        <f t="shared" si="45"/>
        <v>66.128999999999991</v>
      </c>
      <c r="J138">
        <v>230.922</v>
      </c>
      <c r="K138">
        <f t="shared" si="46"/>
        <v>24.078000000000003</v>
      </c>
      <c r="L138">
        <f t="shared" si="47"/>
        <v>42.050999999999988</v>
      </c>
      <c r="N138" t="s">
        <v>85</v>
      </c>
      <c r="O138" s="2">
        <f t="shared" si="48"/>
        <v>0.13911678675893549</v>
      </c>
    </row>
    <row r="139" spans="1:17" x14ac:dyDescent="0.2">
      <c r="A139">
        <v>6</v>
      </c>
      <c r="B139">
        <v>139.44499999999999</v>
      </c>
      <c r="C139">
        <f t="shared" si="42"/>
        <v>115.55500000000001</v>
      </c>
      <c r="D139">
        <v>146.50399999999999</v>
      </c>
      <c r="E139">
        <f t="shared" si="43"/>
        <v>108.49600000000001</v>
      </c>
      <c r="F139">
        <f t="shared" si="44"/>
        <v>7.0589999999999975</v>
      </c>
      <c r="H139">
        <v>191.96700000000001</v>
      </c>
      <c r="I139">
        <f t="shared" si="45"/>
        <v>63.032999999999987</v>
      </c>
      <c r="J139">
        <v>231.28200000000001</v>
      </c>
      <c r="K139">
        <f t="shared" si="46"/>
        <v>23.717999999999989</v>
      </c>
      <c r="L139">
        <f t="shared" si="47"/>
        <v>39.314999999999998</v>
      </c>
      <c r="N139" t="s">
        <v>86</v>
      </c>
      <c r="O139" s="2">
        <f t="shared" si="48"/>
        <v>0.1795497901564288</v>
      </c>
    </row>
    <row r="140" spans="1:17" x14ac:dyDescent="0.2">
      <c r="A140">
        <v>7</v>
      </c>
      <c r="B140">
        <v>114.27500000000001</v>
      </c>
      <c r="C140">
        <f t="shared" si="42"/>
        <v>140.72499999999999</v>
      </c>
      <c r="D140">
        <v>157.273</v>
      </c>
      <c r="E140">
        <f t="shared" si="43"/>
        <v>97.727000000000004</v>
      </c>
      <c r="F140">
        <f t="shared" si="44"/>
        <v>42.99799999999999</v>
      </c>
      <c r="H140">
        <v>204.37299999999999</v>
      </c>
      <c r="I140">
        <f t="shared" si="45"/>
        <v>50.62700000000001</v>
      </c>
      <c r="J140">
        <v>232.25899999999999</v>
      </c>
      <c r="K140">
        <f t="shared" si="46"/>
        <v>22.741000000000014</v>
      </c>
      <c r="L140">
        <f t="shared" si="47"/>
        <v>27.885999999999996</v>
      </c>
      <c r="N140" t="s">
        <v>87</v>
      </c>
      <c r="O140" s="2">
        <f t="shared" si="48"/>
        <v>1.5419206770422433</v>
      </c>
    </row>
    <row r="141" spans="1:17" x14ac:dyDescent="0.2">
      <c r="A141">
        <v>8</v>
      </c>
      <c r="B141">
        <v>147.053</v>
      </c>
      <c r="C141">
        <f t="shared" si="42"/>
        <v>107.947</v>
      </c>
      <c r="D141">
        <v>166.92500000000001</v>
      </c>
      <c r="E141">
        <f t="shared" si="43"/>
        <v>88.074999999999989</v>
      </c>
      <c r="F141">
        <f t="shared" si="44"/>
        <v>19.872000000000014</v>
      </c>
      <c r="H141">
        <v>199.8</v>
      </c>
      <c r="I141">
        <f t="shared" si="45"/>
        <v>55.199999999999989</v>
      </c>
      <c r="J141">
        <v>233</v>
      </c>
      <c r="K141">
        <f t="shared" si="46"/>
        <v>22</v>
      </c>
      <c r="L141">
        <f t="shared" si="47"/>
        <v>33.199999999999989</v>
      </c>
      <c r="N141" t="s">
        <v>88</v>
      </c>
      <c r="O141" s="2">
        <f t="shared" si="48"/>
        <v>0.59855421686747046</v>
      </c>
    </row>
    <row r="142" spans="1:17" x14ac:dyDescent="0.2">
      <c r="A142">
        <v>9</v>
      </c>
      <c r="B142">
        <v>145.78299999999999</v>
      </c>
      <c r="C142">
        <f t="shared" si="42"/>
        <v>109.21700000000001</v>
      </c>
      <c r="D142">
        <v>154.166</v>
      </c>
      <c r="E142">
        <f t="shared" si="43"/>
        <v>100.834</v>
      </c>
      <c r="F142">
        <f t="shared" si="44"/>
        <v>8.3830000000000098</v>
      </c>
      <c r="H142">
        <v>176.30199999999999</v>
      </c>
      <c r="I142">
        <f t="shared" si="45"/>
        <v>78.698000000000008</v>
      </c>
      <c r="J142">
        <v>231.24799999999999</v>
      </c>
      <c r="K142">
        <f t="shared" si="46"/>
        <v>23.75200000000001</v>
      </c>
      <c r="L142">
        <f t="shared" si="47"/>
        <v>54.945999999999998</v>
      </c>
      <c r="N142" t="s">
        <v>89</v>
      </c>
      <c r="O142" s="2">
        <f t="shared" si="48"/>
        <v>0.15256797583081588</v>
      </c>
    </row>
    <row r="143" spans="1:17" x14ac:dyDescent="0.2">
      <c r="A143">
        <v>10</v>
      </c>
      <c r="B143">
        <v>134.57300000000001</v>
      </c>
      <c r="C143">
        <f t="shared" si="42"/>
        <v>120.42699999999999</v>
      </c>
      <c r="D143">
        <v>144.90899999999999</v>
      </c>
      <c r="E143">
        <f t="shared" si="43"/>
        <v>110.09100000000001</v>
      </c>
      <c r="F143">
        <f t="shared" si="44"/>
        <v>10.335999999999984</v>
      </c>
      <c r="H143">
        <v>197.55199999999999</v>
      </c>
      <c r="I143">
        <f t="shared" si="45"/>
        <v>57.448000000000008</v>
      </c>
      <c r="J143">
        <v>232.02199999999999</v>
      </c>
      <c r="K143">
        <f t="shared" si="46"/>
        <v>22.978000000000009</v>
      </c>
      <c r="L143">
        <f t="shared" si="47"/>
        <v>34.47</v>
      </c>
      <c r="N143" t="s">
        <v>90</v>
      </c>
      <c r="O143" s="2">
        <f t="shared" si="48"/>
        <v>0.2998549463301417</v>
      </c>
    </row>
    <row r="144" spans="1:17" x14ac:dyDescent="0.2">
      <c r="A144">
        <v>11</v>
      </c>
      <c r="B144">
        <v>102.36799999999999</v>
      </c>
      <c r="C144">
        <f t="shared" si="42"/>
        <v>152.63200000000001</v>
      </c>
      <c r="D144">
        <v>135.78100000000001</v>
      </c>
      <c r="E144">
        <f t="shared" si="43"/>
        <v>119.21899999999999</v>
      </c>
      <c r="F144">
        <f t="shared" si="44"/>
        <v>33.413000000000011</v>
      </c>
      <c r="H144">
        <v>196.322</v>
      </c>
      <c r="I144">
        <f t="shared" si="45"/>
        <v>58.677999999999997</v>
      </c>
      <c r="J144">
        <v>231.54499999999999</v>
      </c>
      <c r="K144">
        <f t="shared" si="46"/>
        <v>23.455000000000013</v>
      </c>
      <c r="L144">
        <f t="shared" si="47"/>
        <v>35.222999999999985</v>
      </c>
      <c r="N144" t="s">
        <v>91</v>
      </c>
      <c r="O144" s="2">
        <f t="shared" si="48"/>
        <v>0.94861312210771442</v>
      </c>
    </row>
    <row r="145" spans="1:17" x14ac:dyDescent="0.2">
      <c r="A145">
        <v>12</v>
      </c>
      <c r="B145">
        <v>103.48399999999999</v>
      </c>
      <c r="C145">
        <f t="shared" si="42"/>
        <v>151.51600000000002</v>
      </c>
      <c r="D145">
        <v>140.44300000000001</v>
      </c>
      <c r="E145">
        <f t="shared" si="43"/>
        <v>114.55699999999999</v>
      </c>
      <c r="F145">
        <f t="shared" si="44"/>
        <v>36.959000000000032</v>
      </c>
      <c r="H145">
        <v>194.756</v>
      </c>
      <c r="I145">
        <f t="shared" si="45"/>
        <v>60.244</v>
      </c>
      <c r="J145">
        <v>231.31</v>
      </c>
      <c r="K145">
        <f t="shared" si="46"/>
        <v>23.689999999999998</v>
      </c>
      <c r="L145">
        <f t="shared" si="47"/>
        <v>36.554000000000002</v>
      </c>
      <c r="N145" t="s">
        <v>92</v>
      </c>
      <c r="O145" s="2">
        <f t="shared" si="48"/>
        <v>1.0110794988236589</v>
      </c>
    </row>
    <row r="146" spans="1:17" x14ac:dyDescent="0.2">
      <c r="A146">
        <v>13</v>
      </c>
      <c r="B146">
        <v>124.666</v>
      </c>
      <c r="C146">
        <f t="shared" si="42"/>
        <v>130.334</v>
      </c>
      <c r="D146">
        <v>134.80600000000001</v>
      </c>
      <c r="E146">
        <f t="shared" si="43"/>
        <v>120.19399999999999</v>
      </c>
      <c r="F146">
        <f t="shared" si="44"/>
        <v>10.140000000000015</v>
      </c>
      <c r="H146">
        <v>178.62700000000001</v>
      </c>
      <c r="I146">
        <f t="shared" si="45"/>
        <v>76.37299999999999</v>
      </c>
      <c r="J146">
        <v>230.989</v>
      </c>
      <c r="K146">
        <f t="shared" si="46"/>
        <v>24.010999999999996</v>
      </c>
      <c r="L146">
        <f t="shared" si="47"/>
        <v>52.361999999999995</v>
      </c>
      <c r="N146" t="s">
        <v>93</v>
      </c>
      <c r="O146" s="2">
        <f t="shared" si="48"/>
        <v>0.19365188495473848</v>
      </c>
    </row>
    <row r="147" spans="1:17" x14ac:dyDescent="0.2">
      <c r="A147">
        <v>14</v>
      </c>
      <c r="B147">
        <v>134.63800000000001</v>
      </c>
      <c r="C147">
        <f t="shared" si="42"/>
        <v>120.36199999999999</v>
      </c>
      <c r="D147">
        <v>142.77099999999999</v>
      </c>
      <c r="E147">
        <f t="shared" si="43"/>
        <v>112.22900000000001</v>
      </c>
      <c r="F147">
        <f t="shared" si="44"/>
        <v>8.1329999999999814</v>
      </c>
      <c r="H147">
        <v>176.79599999999999</v>
      </c>
      <c r="I147">
        <f t="shared" si="45"/>
        <v>78.204000000000008</v>
      </c>
      <c r="J147">
        <v>231.517</v>
      </c>
      <c r="K147">
        <f t="shared" si="46"/>
        <v>23.483000000000004</v>
      </c>
      <c r="L147">
        <f t="shared" si="47"/>
        <v>54.721000000000004</v>
      </c>
      <c r="N147" t="s">
        <v>94</v>
      </c>
      <c r="O147" s="2">
        <f t="shared" si="48"/>
        <v>0.14862666983424974</v>
      </c>
    </row>
    <row r="148" spans="1:17" x14ac:dyDescent="0.2">
      <c r="A148">
        <v>15</v>
      </c>
      <c r="B148">
        <v>102.01</v>
      </c>
      <c r="C148">
        <f t="shared" si="42"/>
        <v>152.99</v>
      </c>
      <c r="D148">
        <v>149.654</v>
      </c>
      <c r="E148">
        <f t="shared" si="43"/>
        <v>105.346</v>
      </c>
      <c r="F148">
        <f t="shared" si="44"/>
        <v>47.644000000000005</v>
      </c>
      <c r="H148">
        <v>169.51400000000001</v>
      </c>
      <c r="I148">
        <f t="shared" si="45"/>
        <v>85.48599999999999</v>
      </c>
      <c r="J148">
        <v>232.69200000000001</v>
      </c>
      <c r="K148">
        <f t="shared" si="46"/>
        <v>22.307999999999993</v>
      </c>
      <c r="L148">
        <f t="shared" si="47"/>
        <v>63.177999999999997</v>
      </c>
      <c r="N148" t="s">
        <v>95</v>
      </c>
      <c r="O148" s="2">
        <f t="shared" si="48"/>
        <v>0.75412327075880858</v>
      </c>
    </row>
    <row r="149" spans="1:17" x14ac:dyDescent="0.2">
      <c r="A149">
        <v>16</v>
      </c>
      <c r="B149">
        <v>121.42100000000001</v>
      </c>
      <c r="C149">
        <f>255-B149</f>
        <v>133.57900000000001</v>
      </c>
      <c r="D149">
        <v>156.53</v>
      </c>
      <c r="E149">
        <f t="shared" si="43"/>
        <v>98.47</v>
      </c>
      <c r="F149">
        <f>C149-E149</f>
        <v>35.109000000000009</v>
      </c>
      <c r="H149">
        <v>160.67599999999999</v>
      </c>
      <c r="I149">
        <f t="shared" si="45"/>
        <v>94.324000000000012</v>
      </c>
      <c r="J149">
        <v>233.596</v>
      </c>
      <c r="K149">
        <f t="shared" si="46"/>
        <v>21.403999999999996</v>
      </c>
      <c r="L149">
        <f t="shared" si="47"/>
        <v>72.920000000000016</v>
      </c>
      <c r="N149" t="s">
        <v>96</v>
      </c>
      <c r="O149" s="2">
        <f t="shared" si="48"/>
        <v>0.48147284695556775</v>
      </c>
    </row>
    <row r="150" spans="1:17" x14ac:dyDescent="0.2">
      <c r="O150" s="2"/>
    </row>
    <row r="151" spans="1:17" x14ac:dyDescent="0.2">
      <c r="O151" s="2"/>
    </row>
    <row r="152" spans="1:17" x14ac:dyDescent="0.2">
      <c r="A152" s="1" t="s">
        <v>174</v>
      </c>
      <c r="O152" s="2"/>
    </row>
    <row r="153" spans="1:17" s="1" customFormat="1" x14ac:dyDescent="0.2">
      <c r="A153" t="s">
        <v>0</v>
      </c>
      <c r="B153" t="s">
        <v>1</v>
      </c>
      <c r="C153" s="1" t="s">
        <v>6</v>
      </c>
      <c r="D153" t="s">
        <v>3</v>
      </c>
      <c r="E153" s="1" t="s">
        <v>4</v>
      </c>
      <c r="F153" s="1" t="s">
        <v>5</v>
      </c>
      <c r="G153"/>
      <c r="H153" t="s">
        <v>7</v>
      </c>
      <c r="I153" s="1" t="s">
        <v>8</v>
      </c>
      <c r="J153" t="s">
        <v>3</v>
      </c>
      <c r="K153" t="s">
        <v>4</v>
      </c>
      <c r="L153" s="1" t="s">
        <v>9</v>
      </c>
      <c r="N153" s="1" t="s">
        <v>41</v>
      </c>
      <c r="O153" s="2" t="s">
        <v>172</v>
      </c>
      <c r="P153"/>
      <c r="Q153" s="13" t="s">
        <v>153</v>
      </c>
    </row>
    <row r="154" spans="1:17" s="1" customFormat="1" x14ac:dyDescent="0.2">
      <c r="A154" t="s">
        <v>97</v>
      </c>
      <c r="B154">
        <v>133.27500000000001</v>
      </c>
      <c r="C154">
        <f>255-B154</f>
        <v>121.72499999999999</v>
      </c>
      <c r="D154">
        <v>133.28200000000001</v>
      </c>
      <c r="E154">
        <f>255-D154</f>
        <v>121.71799999999999</v>
      </c>
      <c r="F154">
        <f>C154-E154</f>
        <v>7.0000000000050022E-3</v>
      </c>
      <c r="G154"/>
      <c r="H154">
        <v>182.84399999999999</v>
      </c>
      <c r="I154">
        <f>255-H154</f>
        <v>72.156000000000006</v>
      </c>
      <c r="J154">
        <v>220.63300000000001</v>
      </c>
      <c r="K154">
        <f>255-J154</f>
        <v>34.36699999999999</v>
      </c>
      <c r="L154" s="1">
        <f>I154-K154</f>
        <v>37.789000000000016</v>
      </c>
      <c r="N154" t="s">
        <v>97</v>
      </c>
      <c r="O154" s="2">
        <f>F154/L154</f>
        <v>1.8523909074082403E-4</v>
      </c>
      <c r="P154" t="s">
        <v>146</v>
      </c>
      <c r="Q154" s="14">
        <f>O155-O154</f>
        <v>1.2346346307711857</v>
      </c>
    </row>
    <row r="155" spans="1:17" s="1" customFormat="1" x14ac:dyDescent="0.2">
      <c r="A155" t="s">
        <v>99</v>
      </c>
      <c r="B155">
        <v>107.697</v>
      </c>
      <c r="C155">
        <f t="shared" ref="C155:C165" si="49">255-B155</f>
        <v>147.303</v>
      </c>
      <c r="D155">
        <v>146.6</v>
      </c>
      <c r="E155">
        <f t="shared" ref="E155:E165" si="50">255-D155</f>
        <v>108.4</v>
      </c>
      <c r="F155">
        <f t="shared" ref="F155:F165" si="51">C155-E155</f>
        <v>38.902999999999992</v>
      </c>
      <c r="G155"/>
      <c r="H155">
        <v>185.19200000000001</v>
      </c>
      <c r="I155">
        <f t="shared" ref="I155:I165" si="52">255-H155</f>
        <v>69.807999999999993</v>
      </c>
      <c r="J155">
        <v>216.697</v>
      </c>
      <c r="K155">
        <f t="shared" ref="K155:K165" si="53">255-J155</f>
        <v>38.302999999999997</v>
      </c>
      <c r="L155" s="1">
        <f t="shared" ref="L155:L165" si="54">I155-K155</f>
        <v>31.504999999999995</v>
      </c>
      <c r="N155" t="s">
        <v>99</v>
      </c>
      <c r="O155" s="2">
        <f>F155/L155</f>
        <v>1.2348198698619266</v>
      </c>
      <c r="P155" t="s">
        <v>147</v>
      </c>
      <c r="Q155" s="14">
        <f>O157-O156</f>
        <v>0.76857026346948309</v>
      </c>
    </row>
    <row r="156" spans="1:17" s="1" customFormat="1" x14ac:dyDescent="0.2">
      <c r="A156" t="s">
        <v>101</v>
      </c>
      <c r="B156">
        <v>131.29900000000001</v>
      </c>
      <c r="C156">
        <f t="shared" si="49"/>
        <v>123.70099999999999</v>
      </c>
      <c r="D156">
        <v>142.33099999999999</v>
      </c>
      <c r="E156">
        <f t="shared" si="50"/>
        <v>112.66900000000001</v>
      </c>
      <c r="F156">
        <f t="shared" si="51"/>
        <v>11.031999999999982</v>
      </c>
      <c r="G156"/>
      <c r="H156">
        <v>175.12100000000001</v>
      </c>
      <c r="I156">
        <f t="shared" si="52"/>
        <v>79.878999999999991</v>
      </c>
      <c r="J156">
        <v>221.46899999999999</v>
      </c>
      <c r="K156">
        <f t="shared" si="53"/>
        <v>33.531000000000006</v>
      </c>
      <c r="L156" s="1">
        <f t="shared" si="54"/>
        <v>46.347999999999985</v>
      </c>
      <c r="N156" t="s">
        <v>101</v>
      </c>
      <c r="O156" s="2">
        <f t="shared" ref="O156:O165" si="55">F156/L156</f>
        <v>0.23802537326313941</v>
      </c>
      <c r="P156" t="s">
        <v>148</v>
      </c>
      <c r="Q156" s="14">
        <f>O159-O158</f>
        <v>0.69471852664805533</v>
      </c>
    </row>
    <row r="157" spans="1:17" s="1" customFormat="1" x14ac:dyDescent="0.2">
      <c r="A157" t="s">
        <v>103</v>
      </c>
      <c r="B157">
        <v>100.59699999999999</v>
      </c>
      <c r="C157">
        <f t="shared" si="49"/>
        <v>154.40300000000002</v>
      </c>
      <c r="D157">
        <v>128.37299999999999</v>
      </c>
      <c r="E157">
        <f t="shared" si="50"/>
        <v>126.62700000000001</v>
      </c>
      <c r="F157">
        <f t="shared" si="51"/>
        <v>27.77600000000001</v>
      </c>
      <c r="G157"/>
      <c r="H157">
        <v>192.46199999999999</v>
      </c>
      <c r="I157">
        <f t="shared" si="52"/>
        <v>62.538000000000011</v>
      </c>
      <c r="J157">
        <v>220.05600000000001</v>
      </c>
      <c r="K157">
        <f t="shared" si="53"/>
        <v>34.943999999999988</v>
      </c>
      <c r="L157" s="1">
        <f t="shared" si="54"/>
        <v>27.594000000000023</v>
      </c>
      <c r="N157" t="s">
        <v>103</v>
      </c>
      <c r="O157" s="2">
        <f t="shared" si="55"/>
        <v>1.0065956367326225</v>
      </c>
      <c r="P157" t="s">
        <v>149</v>
      </c>
      <c r="Q157" s="14">
        <f>O161-O160</f>
        <v>0.51932301891464394</v>
      </c>
    </row>
    <row r="158" spans="1:17" s="1" customFormat="1" x14ac:dyDescent="0.2">
      <c r="A158" t="s">
        <v>105</v>
      </c>
      <c r="B158">
        <v>126.59699999999999</v>
      </c>
      <c r="C158">
        <f t="shared" si="49"/>
        <v>128.40300000000002</v>
      </c>
      <c r="D158">
        <v>126.958</v>
      </c>
      <c r="E158">
        <f>255-D158</f>
        <v>128.042</v>
      </c>
      <c r="F158">
        <f>C158-E158</f>
        <v>0.36100000000001842</v>
      </c>
      <c r="G158"/>
      <c r="H158">
        <v>208.054</v>
      </c>
      <c r="I158">
        <f t="shared" si="52"/>
        <v>46.945999999999998</v>
      </c>
      <c r="J158">
        <v>223.351</v>
      </c>
      <c r="K158">
        <f t="shared" si="53"/>
        <v>31.649000000000001</v>
      </c>
      <c r="L158" s="1">
        <f t="shared" si="54"/>
        <v>15.296999999999997</v>
      </c>
      <c r="N158" t="s">
        <v>105</v>
      </c>
      <c r="O158" s="2">
        <f t="shared" si="55"/>
        <v>2.3599398574885171E-2</v>
      </c>
      <c r="P158" t="s">
        <v>173</v>
      </c>
      <c r="Q158" s="14">
        <f>O163-O162</f>
        <v>0.23452357807391799</v>
      </c>
    </row>
    <row r="159" spans="1:17" s="1" customFormat="1" x14ac:dyDescent="0.2">
      <c r="A159" t="s">
        <v>107</v>
      </c>
      <c r="B159">
        <v>111.854</v>
      </c>
      <c r="C159">
        <f t="shared" si="49"/>
        <v>143.14600000000002</v>
      </c>
      <c r="D159">
        <v>129.41399999999999</v>
      </c>
      <c r="E159">
        <f>255-D159</f>
        <v>125.58600000000001</v>
      </c>
      <c r="F159">
        <f t="shared" si="51"/>
        <v>17.560000000000002</v>
      </c>
      <c r="G159"/>
      <c r="H159">
        <v>203.577</v>
      </c>
      <c r="I159">
        <f t="shared" si="52"/>
        <v>51.423000000000002</v>
      </c>
      <c r="J159">
        <v>228.023</v>
      </c>
      <c r="K159">
        <f t="shared" si="53"/>
        <v>26.977000000000004</v>
      </c>
      <c r="L159" s="1">
        <f t="shared" si="54"/>
        <v>24.445999999999998</v>
      </c>
      <c r="N159" t="s">
        <v>107</v>
      </c>
      <c r="O159" s="2">
        <f t="shared" si="55"/>
        <v>0.71831792522294047</v>
      </c>
      <c r="P159" t="s">
        <v>158</v>
      </c>
      <c r="Q159" s="14">
        <f>O165-O164</f>
        <v>0.36020084949719439</v>
      </c>
    </row>
    <row r="160" spans="1:17" s="1" customFormat="1" x14ac:dyDescent="0.2">
      <c r="A160" t="s">
        <v>109</v>
      </c>
      <c r="B160">
        <v>122.794</v>
      </c>
      <c r="C160">
        <f t="shared" si="49"/>
        <v>132.20600000000002</v>
      </c>
      <c r="D160">
        <v>127.271</v>
      </c>
      <c r="E160">
        <f t="shared" si="50"/>
        <v>127.729</v>
      </c>
      <c r="F160">
        <f t="shared" si="51"/>
        <v>4.4770000000000181</v>
      </c>
      <c r="G160"/>
      <c r="H160">
        <v>201.97900000000001</v>
      </c>
      <c r="I160">
        <f t="shared" si="52"/>
        <v>53.020999999999987</v>
      </c>
      <c r="J160">
        <v>230.42599999999999</v>
      </c>
      <c r="K160">
        <f t="shared" si="53"/>
        <v>24.574000000000012</v>
      </c>
      <c r="L160" s="1">
        <f t="shared" si="54"/>
        <v>28.446999999999974</v>
      </c>
      <c r="N160" t="s">
        <v>109</v>
      </c>
      <c r="O160" s="2">
        <f t="shared" si="55"/>
        <v>0.15738039160544248</v>
      </c>
      <c r="P160"/>
    </row>
    <row r="161" spans="1:17" s="1" customFormat="1" x14ac:dyDescent="0.2">
      <c r="A161" t="s">
        <v>111</v>
      </c>
      <c r="B161">
        <v>87.176000000000002</v>
      </c>
      <c r="C161">
        <f t="shared" si="49"/>
        <v>167.82400000000001</v>
      </c>
      <c r="D161">
        <v>105.47</v>
      </c>
      <c r="E161">
        <f t="shared" si="50"/>
        <v>149.53</v>
      </c>
      <c r="F161">
        <f t="shared" si="51"/>
        <v>18.294000000000011</v>
      </c>
      <c r="G161"/>
      <c r="H161">
        <v>204.13800000000001</v>
      </c>
      <c r="I161">
        <f t="shared" si="52"/>
        <v>50.861999999999995</v>
      </c>
      <c r="J161">
        <v>231.172</v>
      </c>
      <c r="K161">
        <f t="shared" si="53"/>
        <v>23.828000000000003</v>
      </c>
      <c r="L161" s="1">
        <f t="shared" si="54"/>
        <v>27.033999999999992</v>
      </c>
      <c r="N161" t="s">
        <v>111</v>
      </c>
      <c r="O161" s="2">
        <f t="shared" si="55"/>
        <v>0.67670341052008642</v>
      </c>
      <c r="P161"/>
    </row>
    <row r="162" spans="1:17" s="1" customFormat="1" x14ac:dyDescent="0.2">
      <c r="A162" t="s">
        <v>168</v>
      </c>
      <c r="B162">
        <v>167.57599999999999</v>
      </c>
      <c r="C162">
        <f t="shared" si="49"/>
        <v>87.424000000000007</v>
      </c>
      <c r="D162">
        <v>171.375</v>
      </c>
      <c r="E162">
        <f t="shared" si="50"/>
        <v>83.625</v>
      </c>
      <c r="F162">
        <f t="shared" si="51"/>
        <v>3.7990000000000066</v>
      </c>
      <c r="G162"/>
      <c r="H162">
        <v>161.93100000000001</v>
      </c>
      <c r="I162">
        <f t="shared" si="52"/>
        <v>93.068999999999988</v>
      </c>
      <c r="J162">
        <v>237.22300000000001</v>
      </c>
      <c r="K162">
        <f t="shared" si="53"/>
        <v>17.776999999999987</v>
      </c>
      <c r="L162" s="1">
        <f t="shared" si="54"/>
        <v>75.292000000000002</v>
      </c>
      <c r="N162" t="s">
        <v>168</v>
      </c>
      <c r="O162" s="2">
        <f t="shared" si="55"/>
        <v>5.045688784997087E-2</v>
      </c>
      <c r="P162"/>
    </row>
    <row r="163" spans="1:17" s="1" customFormat="1" x14ac:dyDescent="0.2">
      <c r="A163" t="s">
        <v>169</v>
      </c>
      <c r="B163">
        <v>145.62</v>
      </c>
      <c r="C163">
        <f t="shared" si="49"/>
        <v>109.38</v>
      </c>
      <c r="D163">
        <v>153.49799999999999</v>
      </c>
      <c r="E163">
        <f t="shared" si="50"/>
        <v>101.50200000000001</v>
      </c>
      <c r="F163">
        <f t="shared" si="51"/>
        <v>7.8779999999999859</v>
      </c>
      <c r="G163"/>
      <c r="H163">
        <v>210.4</v>
      </c>
      <c r="I163">
        <f t="shared" si="52"/>
        <v>44.599999999999994</v>
      </c>
      <c r="J163">
        <v>238.04400000000001</v>
      </c>
      <c r="K163">
        <f t="shared" si="53"/>
        <v>16.955999999999989</v>
      </c>
      <c r="L163" s="1">
        <f t="shared" si="54"/>
        <v>27.644000000000005</v>
      </c>
      <c r="N163" t="s">
        <v>169</v>
      </c>
      <c r="O163" s="2">
        <f t="shared" si="55"/>
        <v>0.28498046592388887</v>
      </c>
      <c r="P163"/>
    </row>
    <row r="164" spans="1:17" s="1" customFormat="1" x14ac:dyDescent="0.2">
      <c r="A164" t="s">
        <v>170</v>
      </c>
      <c r="B164">
        <v>153.25700000000001</v>
      </c>
      <c r="C164">
        <f t="shared" si="49"/>
        <v>101.74299999999999</v>
      </c>
      <c r="D164">
        <v>157.14400000000001</v>
      </c>
      <c r="E164">
        <f t="shared" si="50"/>
        <v>97.855999999999995</v>
      </c>
      <c r="F164">
        <f t="shared" si="51"/>
        <v>3.8870000000000005</v>
      </c>
      <c r="G164"/>
      <c r="H164">
        <v>165.005</v>
      </c>
      <c r="I164">
        <f t="shared" si="52"/>
        <v>89.995000000000005</v>
      </c>
      <c r="J164">
        <v>236.65600000000001</v>
      </c>
      <c r="K164">
        <f t="shared" si="53"/>
        <v>18.343999999999994</v>
      </c>
      <c r="L164" s="1">
        <f t="shared" si="54"/>
        <v>71.65100000000001</v>
      </c>
      <c r="N164" t="s">
        <v>170</v>
      </c>
      <c r="O164" s="2">
        <f t="shared" si="55"/>
        <v>5.4249068400999287E-2</v>
      </c>
      <c r="P164"/>
    </row>
    <row r="165" spans="1:17" s="1" customFormat="1" x14ac:dyDescent="0.2">
      <c r="A165" t="s">
        <v>171</v>
      </c>
      <c r="B165">
        <v>153</v>
      </c>
      <c r="C165">
        <f t="shared" si="49"/>
        <v>102</v>
      </c>
      <c r="D165">
        <v>160.572</v>
      </c>
      <c r="E165">
        <f t="shared" si="50"/>
        <v>94.427999999999997</v>
      </c>
      <c r="F165">
        <f t="shared" si="51"/>
        <v>7.5720000000000027</v>
      </c>
      <c r="G165"/>
      <c r="H165">
        <v>218.215</v>
      </c>
      <c r="I165">
        <f t="shared" si="52"/>
        <v>36.784999999999997</v>
      </c>
      <c r="J165">
        <v>236.48500000000001</v>
      </c>
      <c r="K165">
        <f t="shared" si="53"/>
        <v>18.514999999999986</v>
      </c>
      <c r="L165" s="1">
        <f t="shared" si="54"/>
        <v>18.27000000000001</v>
      </c>
      <c r="N165" t="s">
        <v>171</v>
      </c>
      <c r="O165" s="2">
        <f t="shared" si="55"/>
        <v>0.41444991789819369</v>
      </c>
      <c r="P165"/>
    </row>
    <row r="166" spans="1:17" s="1" customFormat="1" x14ac:dyDescent="0.2">
      <c r="A166"/>
      <c r="B166"/>
      <c r="D166"/>
      <c r="G166"/>
      <c r="H166"/>
      <c r="J166"/>
      <c r="K166"/>
      <c r="O166" s="2"/>
      <c r="P166"/>
    </row>
    <row r="167" spans="1:17" s="1" customFormat="1" x14ac:dyDescent="0.2">
      <c r="A167"/>
      <c r="B167"/>
      <c r="D167"/>
      <c r="G167"/>
      <c r="H167"/>
      <c r="J167"/>
      <c r="K167"/>
      <c r="O167" s="2"/>
      <c r="P167"/>
    </row>
    <row r="169" spans="1:17" x14ac:dyDescent="0.2">
      <c r="A169" s="1" t="s">
        <v>142</v>
      </c>
      <c r="B169" s="1" t="s">
        <v>1</v>
      </c>
      <c r="C169" s="1" t="s">
        <v>6</v>
      </c>
      <c r="D169" s="1" t="s">
        <v>117</v>
      </c>
      <c r="E169" s="1" t="s">
        <v>118</v>
      </c>
      <c r="F169" s="1" t="s">
        <v>120</v>
      </c>
      <c r="G169" s="1"/>
      <c r="H169" s="1" t="s">
        <v>7</v>
      </c>
      <c r="I169" s="1" t="s">
        <v>121</v>
      </c>
      <c r="J169" s="1" t="s">
        <v>3</v>
      </c>
      <c r="K169" s="1" t="s">
        <v>122</v>
      </c>
      <c r="L169" s="1" t="s">
        <v>123</v>
      </c>
      <c r="M169" s="1"/>
      <c r="N169" s="1" t="s">
        <v>14</v>
      </c>
      <c r="O169" s="1"/>
      <c r="P169" s="13" t="s">
        <v>153</v>
      </c>
      <c r="Q169" s="1"/>
    </row>
    <row r="170" spans="1:17" x14ac:dyDescent="0.2">
      <c r="A170" t="s">
        <v>135</v>
      </c>
      <c r="B170">
        <v>60.481999999999999</v>
      </c>
      <c r="C170">
        <f>255-B170</f>
        <v>194.518</v>
      </c>
      <c r="D170">
        <v>167.24799999999999</v>
      </c>
      <c r="E170">
        <f>255-D170</f>
        <v>87.75200000000001</v>
      </c>
      <c r="F170">
        <f>C170-E170</f>
        <v>106.76599999999999</v>
      </c>
      <c r="H170">
        <v>122.86199999999999</v>
      </c>
      <c r="I170">
        <f>255-H170</f>
        <v>132.13800000000001</v>
      </c>
      <c r="J170">
        <v>242.63900000000001</v>
      </c>
      <c r="K170">
        <f>255-J170</f>
        <v>12.36099999999999</v>
      </c>
      <c r="L170">
        <f>I170-K170</f>
        <v>119.77700000000002</v>
      </c>
      <c r="N170" s="2">
        <f>F170/L170</f>
        <v>0.89137313507601612</v>
      </c>
      <c r="O170" t="s">
        <v>146</v>
      </c>
      <c r="P170" s="14">
        <f>N172-N171</f>
        <v>0.21828902848090775</v>
      </c>
    </row>
    <row r="171" spans="1:17" x14ac:dyDescent="0.2">
      <c r="A171" t="s">
        <v>97</v>
      </c>
      <c r="B171">
        <v>162.31200000000001</v>
      </c>
      <c r="C171">
        <f t="shared" ref="C171:C182" si="56">255-B171</f>
        <v>92.687999999999988</v>
      </c>
      <c r="D171">
        <v>169.655</v>
      </c>
      <c r="E171">
        <f t="shared" ref="E171:E182" si="57">255-D171</f>
        <v>85.344999999999999</v>
      </c>
      <c r="F171">
        <f t="shared" ref="F171:F181" si="58">C171-E171</f>
        <v>7.3429999999999893</v>
      </c>
      <c r="H171">
        <v>173.88</v>
      </c>
      <c r="I171">
        <f t="shared" ref="I171:I182" si="59">255-H171</f>
        <v>81.12</v>
      </c>
      <c r="J171">
        <v>245.00399999999999</v>
      </c>
      <c r="K171">
        <f t="shared" ref="K171:K182" si="60">255-J171</f>
        <v>9.9960000000000093</v>
      </c>
      <c r="L171">
        <f t="shared" ref="L171:L181" si="61">I171-K171</f>
        <v>71.123999999999995</v>
      </c>
      <c r="N171" s="2">
        <f t="shared" ref="N171:N181" si="62">F171/L171</f>
        <v>0.10324222484674639</v>
      </c>
      <c r="O171" t="s">
        <v>148</v>
      </c>
      <c r="P171" s="14">
        <f>N174-N173</f>
        <v>0.4425229480616143</v>
      </c>
    </row>
    <row r="172" spans="1:17" x14ac:dyDescent="0.2">
      <c r="A172" t="s">
        <v>99</v>
      </c>
      <c r="B172">
        <v>131.10499999999999</v>
      </c>
      <c r="C172">
        <f t="shared" si="56"/>
        <v>123.89500000000001</v>
      </c>
      <c r="D172">
        <v>155.261</v>
      </c>
      <c r="E172">
        <f t="shared" si="57"/>
        <v>99.739000000000004</v>
      </c>
      <c r="F172">
        <f t="shared" si="58"/>
        <v>24.156000000000006</v>
      </c>
      <c r="H172">
        <v>169.863</v>
      </c>
      <c r="I172">
        <f t="shared" si="59"/>
        <v>85.137</v>
      </c>
      <c r="J172">
        <v>244.99100000000001</v>
      </c>
      <c r="K172">
        <f t="shared" si="60"/>
        <v>10.008999999999986</v>
      </c>
      <c r="L172">
        <f t="shared" si="61"/>
        <v>75.128000000000014</v>
      </c>
      <c r="N172" s="2">
        <f t="shared" si="62"/>
        <v>0.32153125332765414</v>
      </c>
      <c r="O172" t="s">
        <v>149</v>
      </c>
      <c r="P172" s="14">
        <f>N176-N175</f>
        <v>0.31920347272554012</v>
      </c>
    </row>
    <row r="173" spans="1:17" x14ac:dyDescent="0.2">
      <c r="A173" t="s">
        <v>105</v>
      </c>
      <c r="B173">
        <v>119.584</v>
      </c>
      <c r="C173">
        <f t="shared" si="56"/>
        <v>135.416</v>
      </c>
      <c r="D173">
        <v>122.414</v>
      </c>
      <c r="E173">
        <f t="shared" si="57"/>
        <v>132.58600000000001</v>
      </c>
      <c r="F173">
        <f t="shared" si="58"/>
        <v>2.8299999999999841</v>
      </c>
      <c r="H173">
        <v>199.80699999999999</v>
      </c>
      <c r="I173">
        <f t="shared" si="59"/>
        <v>55.193000000000012</v>
      </c>
      <c r="J173">
        <v>244.679</v>
      </c>
      <c r="K173">
        <f t="shared" si="60"/>
        <v>10.320999999999998</v>
      </c>
      <c r="L173">
        <f t="shared" si="61"/>
        <v>44.872000000000014</v>
      </c>
      <c r="N173" s="2">
        <f t="shared" si="62"/>
        <v>6.3068283116419668E-2</v>
      </c>
      <c r="O173" t="s">
        <v>150</v>
      </c>
      <c r="P173" s="14">
        <f>N178-N177</f>
        <v>0.33622810899963951</v>
      </c>
    </row>
    <row r="174" spans="1:17" x14ac:dyDescent="0.2">
      <c r="A174" t="s">
        <v>107</v>
      </c>
      <c r="B174">
        <v>154.51599999999999</v>
      </c>
      <c r="C174">
        <f t="shared" si="56"/>
        <v>100.48400000000001</v>
      </c>
      <c r="D174">
        <v>172.78200000000001</v>
      </c>
      <c r="E174">
        <f t="shared" si="57"/>
        <v>82.217999999999989</v>
      </c>
      <c r="F174">
        <f t="shared" si="58"/>
        <v>18.26600000000002</v>
      </c>
      <c r="H174">
        <v>208.86099999999999</v>
      </c>
      <c r="I174">
        <f t="shared" si="59"/>
        <v>46.13900000000001</v>
      </c>
      <c r="J174">
        <v>244.989</v>
      </c>
      <c r="K174">
        <f t="shared" si="60"/>
        <v>10.010999999999996</v>
      </c>
      <c r="L174">
        <f t="shared" si="61"/>
        <v>36.128000000000014</v>
      </c>
      <c r="N174" s="2">
        <f t="shared" si="62"/>
        <v>0.50559123117803395</v>
      </c>
      <c r="O174" t="s">
        <v>151</v>
      </c>
      <c r="P174" s="14">
        <f>N180-N179</f>
        <v>0.13932953658894381</v>
      </c>
    </row>
    <row r="175" spans="1:17" x14ac:dyDescent="0.2">
      <c r="A175" t="s">
        <v>109</v>
      </c>
      <c r="B175">
        <v>179.25700000000001</v>
      </c>
      <c r="C175">
        <f t="shared" si="56"/>
        <v>75.742999999999995</v>
      </c>
      <c r="D175">
        <v>179.30699999999999</v>
      </c>
      <c r="E175">
        <f t="shared" si="57"/>
        <v>75.693000000000012</v>
      </c>
      <c r="F175">
        <f t="shared" si="58"/>
        <v>4.9999999999982947E-2</v>
      </c>
      <c r="H175">
        <v>176.12</v>
      </c>
      <c r="I175">
        <f t="shared" si="59"/>
        <v>78.88</v>
      </c>
      <c r="J175">
        <v>243.661</v>
      </c>
      <c r="K175">
        <f t="shared" si="60"/>
        <v>11.338999999999999</v>
      </c>
      <c r="L175">
        <f t="shared" si="61"/>
        <v>67.540999999999997</v>
      </c>
      <c r="N175" s="2">
        <f>F175/L175</f>
        <v>7.4029108245336826E-4</v>
      </c>
      <c r="O175" t="s">
        <v>159</v>
      </c>
      <c r="P175" s="14">
        <f>N182-N181</f>
        <v>0.3477902033481387</v>
      </c>
    </row>
    <row r="176" spans="1:17" x14ac:dyDescent="0.2">
      <c r="A176" t="s">
        <v>111</v>
      </c>
      <c r="B176">
        <v>147.83000000000001</v>
      </c>
      <c r="C176">
        <f t="shared" si="56"/>
        <v>107.16999999999999</v>
      </c>
      <c r="D176">
        <v>173.31800000000001</v>
      </c>
      <c r="E176">
        <f t="shared" si="57"/>
        <v>81.681999999999988</v>
      </c>
      <c r="F176">
        <f t="shared" si="58"/>
        <v>25.488</v>
      </c>
      <c r="H176">
        <v>163.80699999999999</v>
      </c>
      <c r="I176">
        <f t="shared" si="59"/>
        <v>91.193000000000012</v>
      </c>
      <c r="J176">
        <v>243.471</v>
      </c>
      <c r="K176">
        <f t="shared" si="60"/>
        <v>11.528999999999996</v>
      </c>
      <c r="L176">
        <f t="shared" si="61"/>
        <v>79.664000000000016</v>
      </c>
      <c r="N176" s="2">
        <f t="shared" si="62"/>
        <v>0.3199437638079935</v>
      </c>
    </row>
    <row r="177" spans="1:17" x14ac:dyDescent="0.2">
      <c r="A177" t="s">
        <v>136</v>
      </c>
      <c r="B177">
        <v>179.3</v>
      </c>
      <c r="C177">
        <f t="shared" si="56"/>
        <v>75.699999999999989</v>
      </c>
      <c r="D177">
        <v>182.029</v>
      </c>
      <c r="E177">
        <f t="shared" si="57"/>
        <v>72.971000000000004</v>
      </c>
      <c r="F177">
        <f t="shared" si="58"/>
        <v>2.728999999999985</v>
      </c>
      <c r="H177">
        <v>169.239</v>
      </c>
      <c r="I177">
        <f t="shared" si="59"/>
        <v>85.760999999999996</v>
      </c>
      <c r="J177">
        <v>242.904</v>
      </c>
      <c r="K177">
        <f t="shared" si="60"/>
        <v>12.096000000000004</v>
      </c>
      <c r="L177">
        <f t="shared" si="61"/>
        <v>73.664999999999992</v>
      </c>
      <c r="N177" s="2">
        <f t="shared" si="62"/>
        <v>3.7046087015543142E-2</v>
      </c>
    </row>
    <row r="178" spans="1:17" x14ac:dyDescent="0.2">
      <c r="A178" t="s">
        <v>137</v>
      </c>
      <c r="B178">
        <v>150.05500000000001</v>
      </c>
      <c r="C178">
        <f t="shared" si="56"/>
        <v>104.94499999999999</v>
      </c>
      <c r="D178">
        <v>176.90199999999999</v>
      </c>
      <c r="E178">
        <f t="shared" si="57"/>
        <v>78.098000000000013</v>
      </c>
      <c r="F178">
        <f t="shared" si="58"/>
        <v>26.84699999999998</v>
      </c>
      <c r="H178">
        <v>172.029</v>
      </c>
      <c r="I178">
        <f t="shared" si="59"/>
        <v>82.971000000000004</v>
      </c>
      <c r="J178">
        <v>243.952</v>
      </c>
      <c r="K178">
        <f t="shared" si="60"/>
        <v>11.048000000000002</v>
      </c>
      <c r="L178">
        <f t="shared" si="61"/>
        <v>71.923000000000002</v>
      </c>
      <c r="N178" s="2">
        <f>F178/L178</f>
        <v>0.37327419601518264</v>
      </c>
    </row>
    <row r="179" spans="1:17" x14ac:dyDescent="0.2">
      <c r="A179" t="s">
        <v>138</v>
      </c>
      <c r="B179">
        <v>183.90199999999999</v>
      </c>
      <c r="C179">
        <f t="shared" si="56"/>
        <v>71.098000000000013</v>
      </c>
      <c r="D179">
        <v>187.232</v>
      </c>
      <c r="E179">
        <f t="shared" si="57"/>
        <v>67.768000000000001</v>
      </c>
      <c r="F179">
        <f t="shared" si="58"/>
        <v>3.3300000000000125</v>
      </c>
      <c r="H179">
        <v>193.41399999999999</v>
      </c>
      <c r="I179">
        <f t="shared" si="59"/>
        <v>61.586000000000013</v>
      </c>
      <c r="J179">
        <v>242.012</v>
      </c>
      <c r="K179">
        <f t="shared" si="60"/>
        <v>12.988</v>
      </c>
      <c r="L179">
        <f t="shared" si="61"/>
        <v>48.598000000000013</v>
      </c>
      <c r="N179" s="2">
        <f t="shared" si="62"/>
        <v>6.8521338326680351E-2</v>
      </c>
    </row>
    <row r="180" spans="1:17" x14ac:dyDescent="0.2">
      <c r="A180" t="s">
        <v>139</v>
      </c>
      <c r="B180">
        <v>174.73</v>
      </c>
      <c r="C180">
        <f t="shared" si="56"/>
        <v>80.27000000000001</v>
      </c>
      <c r="D180">
        <v>186.739</v>
      </c>
      <c r="E180">
        <f t="shared" si="57"/>
        <v>68.260999999999996</v>
      </c>
      <c r="F180">
        <f t="shared" si="58"/>
        <v>12.009000000000015</v>
      </c>
      <c r="H180">
        <v>186.68600000000001</v>
      </c>
      <c r="I180">
        <f t="shared" si="59"/>
        <v>68.313999999999993</v>
      </c>
      <c r="J180">
        <v>244.46299999999999</v>
      </c>
      <c r="K180">
        <f t="shared" si="60"/>
        <v>10.537000000000006</v>
      </c>
      <c r="L180">
        <f t="shared" si="61"/>
        <v>57.776999999999987</v>
      </c>
      <c r="N180" s="2">
        <f t="shared" si="62"/>
        <v>0.20785087491562415</v>
      </c>
    </row>
    <row r="181" spans="1:17" x14ac:dyDescent="0.2">
      <c r="A181" t="s">
        <v>140</v>
      </c>
      <c r="B181">
        <v>182.309</v>
      </c>
      <c r="C181">
        <f t="shared" si="56"/>
        <v>72.691000000000003</v>
      </c>
      <c r="D181">
        <v>186.57300000000001</v>
      </c>
      <c r="E181">
        <f t="shared" si="57"/>
        <v>68.426999999999992</v>
      </c>
      <c r="F181">
        <f t="shared" si="58"/>
        <v>4.26400000000001</v>
      </c>
      <c r="H181">
        <v>161.58600000000001</v>
      </c>
      <c r="I181">
        <f t="shared" si="59"/>
        <v>93.413999999999987</v>
      </c>
      <c r="J181">
        <v>244.20699999999999</v>
      </c>
      <c r="K181">
        <f t="shared" si="60"/>
        <v>10.793000000000006</v>
      </c>
      <c r="L181">
        <f t="shared" si="61"/>
        <v>82.620999999999981</v>
      </c>
      <c r="N181" s="2">
        <f t="shared" si="62"/>
        <v>5.160915505743105E-2</v>
      </c>
    </row>
    <row r="182" spans="1:17" s="1" customFormat="1" x14ac:dyDescent="0.2">
      <c r="A182" t="s">
        <v>141</v>
      </c>
      <c r="B182">
        <v>158.64599999999999</v>
      </c>
      <c r="C182">
        <f t="shared" si="56"/>
        <v>96.354000000000013</v>
      </c>
      <c r="D182">
        <v>187.904</v>
      </c>
      <c r="E182">
        <f t="shared" si="57"/>
        <v>67.096000000000004</v>
      </c>
      <c r="F182">
        <f>C182-E182</f>
        <v>29.25800000000001</v>
      </c>
      <c r="G182"/>
      <c r="H182">
        <v>171.595</v>
      </c>
      <c r="I182">
        <f t="shared" si="59"/>
        <v>83.405000000000001</v>
      </c>
      <c r="J182">
        <v>244.85</v>
      </c>
      <c r="K182">
        <f t="shared" si="60"/>
        <v>10.150000000000006</v>
      </c>
      <c r="L182">
        <f>I182-K182</f>
        <v>73.254999999999995</v>
      </c>
      <c r="M182"/>
      <c r="N182" s="2">
        <f>F182/L182</f>
        <v>0.39939935840556973</v>
      </c>
      <c r="O182"/>
      <c r="P182"/>
      <c r="Q182"/>
    </row>
    <row r="183" spans="1:17" s="1" customFormat="1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</row>
    <row r="184" spans="1:17" s="1" customFormat="1" x14ac:dyDescent="0.2">
      <c r="A184" s="1" t="s">
        <v>162</v>
      </c>
      <c r="B184" s="1" t="s">
        <v>1</v>
      </c>
      <c r="C184" s="1" t="s">
        <v>6</v>
      </c>
      <c r="D184" s="1" t="s">
        <v>117</v>
      </c>
      <c r="E184" s="1" t="s">
        <v>118</v>
      </c>
      <c r="F184" s="1" t="s">
        <v>120</v>
      </c>
      <c r="H184" s="1" t="s">
        <v>7</v>
      </c>
      <c r="I184" s="1" t="s">
        <v>121</v>
      </c>
      <c r="J184" s="1" t="s">
        <v>3</v>
      </c>
      <c r="K184" s="1" t="s">
        <v>122</v>
      </c>
      <c r="L184" s="1" t="s">
        <v>123</v>
      </c>
      <c r="N184" s="1" t="s">
        <v>14</v>
      </c>
      <c r="P184" s="1" t="s">
        <v>153</v>
      </c>
    </row>
    <row r="185" spans="1:17" s="1" customFormat="1" x14ac:dyDescent="0.2">
      <c r="A185" t="s">
        <v>97</v>
      </c>
      <c r="B185">
        <v>220.40199999999999</v>
      </c>
      <c r="C185">
        <f>255-B185</f>
        <v>34.598000000000013</v>
      </c>
      <c r="D185">
        <v>224.428</v>
      </c>
      <c r="E185">
        <f>255-D185</f>
        <v>30.572000000000003</v>
      </c>
      <c r="F185">
        <f>C185-E185</f>
        <v>4.0260000000000105</v>
      </c>
      <c r="H185">
        <v>169.61099999999999</v>
      </c>
      <c r="I185">
        <f>255-H185</f>
        <v>85.38900000000001</v>
      </c>
      <c r="J185">
        <v>244.44399999999999</v>
      </c>
      <c r="K185">
        <f>255-J185</f>
        <v>10.556000000000012</v>
      </c>
      <c r="L185">
        <f>I185-K185</f>
        <v>74.832999999999998</v>
      </c>
      <c r="N185" s="2">
        <f>F185/L185</f>
        <v>5.3799794208437592E-2</v>
      </c>
      <c r="O185" t="s">
        <v>146</v>
      </c>
      <c r="P185" s="2">
        <f>N186-N185</f>
        <v>0.45684681100958435</v>
      </c>
    </row>
    <row r="186" spans="1:17" s="1" customFormat="1" x14ac:dyDescent="0.2">
      <c r="A186" t="s">
        <v>99</v>
      </c>
      <c r="B186">
        <v>188.029</v>
      </c>
      <c r="C186">
        <f t="shared" ref="C186:C197" si="63">255-B186</f>
        <v>66.971000000000004</v>
      </c>
      <c r="D186">
        <v>224.649</v>
      </c>
      <c r="E186">
        <f t="shared" ref="E186:E197" si="64">255-D186</f>
        <v>30.350999999999999</v>
      </c>
      <c r="F186">
        <f t="shared" ref="F186:F197" si="65">C186-E186</f>
        <v>36.620000000000005</v>
      </c>
      <c r="H186">
        <v>173.851</v>
      </c>
      <c r="I186">
        <f t="shared" ref="I186:I197" si="66">255-H186</f>
        <v>81.149000000000001</v>
      </c>
      <c r="J186">
        <v>245.56399999999999</v>
      </c>
      <c r="K186">
        <f t="shared" ref="K186:K197" si="67">255-J186</f>
        <v>9.436000000000007</v>
      </c>
      <c r="L186">
        <f t="shared" ref="L186:L197" si="68">I186-K186</f>
        <v>71.712999999999994</v>
      </c>
      <c r="N186" s="2">
        <f t="shared" ref="N186:N197" si="69">F186/L186</f>
        <v>0.51064660521802197</v>
      </c>
      <c r="O186" t="s">
        <v>147</v>
      </c>
      <c r="P186" s="2">
        <f>N188-N187</f>
        <v>0.59712979872238059</v>
      </c>
    </row>
    <row r="187" spans="1:17" s="1" customFormat="1" x14ac:dyDescent="0.2">
      <c r="A187" t="s">
        <v>101</v>
      </c>
      <c r="B187">
        <v>221.405</v>
      </c>
      <c r="C187">
        <f t="shared" si="63"/>
        <v>33.594999999999999</v>
      </c>
      <c r="D187">
        <v>225.79900000000001</v>
      </c>
      <c r="E187">
        <f t="shared" si="64"/>
        <v>29.200999999999993</v>
      </c>
      <c r="F187">
        <f t="shared" si="65"/>
        <v>4.3940000000000055</v>
      </c>
      <c r="H187">
        <v>180.547</v>
      </c>
      <c r="I187">
        <f t="shared" si="66"/>
        <v>74.453000000000003</v>
      </c>
      <c r="J187">
        <v>244.26900000000001</v>
      </c>
      <c r="K187">
        <f t="shared" si="67"/>
        <v>10.730999999999995</v>
      </c>
      <c r="L187">
        <f t="shared" si="68"/>
        <v>63.722000000000008</v>
      </c>
      <c r="N187" s="2">
        <f t="shared" si="69"/>
        <v>6.8955776654844564E-2</v>
      </c>
      <c r="O187" t="s">
        <v>148</v>
      </c>
      <c r="P187" s="2">
        <f>N190-N189</f>
        <v>0.31468708254567518</v>
      </c>
    </row>
    <row r="188" spans="1:17" s="1" customFormat="1" x14ac:dyDescent="0.2">
      <c r="A188" t="s">
        <v>103</v>
      </c>
      <c r="B188">
        <v>177.79599999999999</v>
      </c>
      <c r="C188">
        <f t="shared" si="63"/>
        <v>77.204000000000008</v>
      </c>
      <c r="D188">
        <v>212.184</v>
      </c>
      <c r="E188">
        <f t="shared" si="64"/>
        <v>42.816000000000003</v>
      </c>
      <c r="F188">
        <f t="shared" si="65"/>
        <v>34.388000000000005</v>
      </c>
      <c r="H188">
        <v>192.95099999999999</v>
      </c>
      <c r="I188">
        <f t="shared" si="66"/>
        <v>62.049000000000007</v>
      </c>
      <c r="J188">
        <v>244.578</v>
      </c>
      <c r="K188">
        <f t="shared" si="67"/>
        <v>10.421999999999997</v>
      </c>
      <c r="L188">
        <f t="shared" si="68"/>
        <v>51.62700000000001</v>
      </c>
      <c r="N188" s="2">
        <f t="shared" si="69"/>
        <v>0.66608557537722513</v>
      </c>
      <c r="O188" t="s">
        <v>149</v>
      </c>
      <c r="P188" s="2">
        <f>N192-N191</f>
        <v>0.27707309860681389</v>
      </c>
    </row>
    <row r="189" spans="1:17" s="1" customFormat="1" x14ac:dyDescent="0.2">
      <c r="A189" t="s">
        <v>105</v>
      </c>
      <c r="B189">
        <v>216.601</v>
      </c>
      <c r="C189">
        <f t="shared" si="63"/>
        <v>38.399000000000001</v>
      </c>
      <c r="D189">
        <v>218.71600000000001</v>
      </c>
      <c r="E189">
        <f t="shared" si="64"/>
        <v>36.283999999999992</v>
      </c>
      <c r="F189">
        <f t="shared" si="65"/>
        <v>2.1150000000000091</v>
      </c>
      <c r="H189">
        <v>178.702</v>
      </c>
      <c r="I189">
        <f t="shared" si="66"/>
        <v>76.298000000000002</v>
      </c>
      <c r="J189">
        <v>244.524</v>
      </c>
      <c r="K189">
        <f t="shared" si="67"/>
        <v>10.475999999999999</v>
      </c>
      <c r="L189">
        <f t="shared" si="68"/>
        <v>65.822000000000003</v>
      </c>
      <c r="N189" s="2">
        <f t="shared" si="69"/>
        <v>3.2132113882896433E-2</v>
      </c>
      <c r="O189" t="s">
        <v>150</v>
      </c>
      <c r="P189" s="2">
        <f>N194-N193</f>
        <v>0.58027316140694674</v>
      </c>
    </row>
    <row r="190" spans="1:17" x14ac:dyDescent="0.2">
      <c r="A190" t="s">
        <v>107</v>
      </c>
      <c r="B190">
        <v>197.773</v>
      </c>
      <c r="C190">
        <f t="shared" si="63"/>
        <v>57.227000000000004</v>
      </c>
      <c r="D190">
        <v>223.876</v>
      </c>
      <c r="E190">
        <f t="shared" si="64"/>
        <v>31.123999999999995</v>
      </c>
      <c r="F190">
        <f t="shared" si="65"/>
        <v>26.103000000000009</v>
      </c>
      <c r="G190" s="1"/>
      <c r="H190">
        <v>169.78700000000001</v>
      </c>
      <c r="I190">
        <f t="shared" si="66"/>
        <v>85.212999999999994</v>
      </c>
      <c r="J190">
        <v>245.05099999999999</v>
      </c>
      <c r="K190">
        <f t="shared" si="67"/>
        <v>9.9490000000000123</v>
      </c>
      <c r="L190">
        <f t="shared" si="68"/>
        <v>75.263999999999982</v>
      </c>
      <c r="M190" s="1"/>
      <c r="N190" s="2">
        <f t="shared" si="69"/>
        <v>0.34681919642857162</v>
      </c>
      <c r="O190" t="s">
        <v>151</v>
      </c>
      <c r="P190" s="2">
        <f>N196-N195</f>
        <v>0.33015161344738236</v>
      </c>
      <c r="Q190" s="1"/>
    </row>
    <row r="191" spans="1:17" x14ac:dyDescent="0.2">
      <c r="A191" t="s">
        <v>109</v>
      </c>
      <c r="B191">
        <v>223.82499999999999</v>
      </c>
      <c r="C191">
        <f t="shared" si="63"/>
        <v>31.175000000000011</v>
      </c>
      <c r="D191">
        <v>226.101</v>
      </c>
      <c r="E191">
        <f t="shared" si="64"/>
        <v>28.899000000000001</v>
      </c>
      <c r="F191">
        <f t="shared" si="65"/>
        <v>2.2760000000000105</v>
      </c>
      <c r="G191" s="1"/>
      <c r="H191">
        <v>174.673</v>
      </c>
      <c r="I191">
        <f t="shared" si="66"/>
        <v>80.326999999999998</v>
      </c>
      <c r="J191">
        <v>244.85300000000001</v>
      </c>
      <c r="K191">
        <f t="shared" si="67"/>
        <v>10.146999999999991</v>
      </c>
      <c r="L191">
        <f t="shared" si="68"/>
        <v>70.180000000000007</v>
      </c>
      <c r="M191" s="1"/>
      <c r="N191" s="2">
        <f t="shared" si="69"/>
        <v>3.2430891992020663E-2</v>
      </c>
      <c r="O191" s="1"/>
      <c r="P191" s="1"/>
      <c r="Q191" s="1"/>
    </row>
    <row r="192" spans="1:17" x14ac:dyDescent="0.2">
      <c r="A192" t="s">
        <v>111</v>
      </c>
      <c r="B192">
        <v>207.721</v>
      </c>
      <c r="C192">
        <f t="shared" si="63"/>
        <v>47.278999999999996</v>
      </c>
      <c r="D192">
        <v>226.684</v>
      </c>
      <c r="E192">
        <f t="shared" si="64"/>
        <v>28.316000000000003</v>
      </c>
      <c r="F192">
        <f t="shared" si="65"/>
        <v>18.962999999999994</v>
      </c>
      <c r="H192">
        <v>184.68199999999999</v>
      </c>
      <c r="I192">
        <f t="shared" si="66"/>
        <v>70.318000000000012</v>
      </c>
      <c r="J192">
        <v>245.95099999999999</v>
      </c>
      <c r="K192">
        <f t="shared" si="67"/>
        <v>9.0490000000000066</v>
      </c>
      <c r="L192">
        <f t="shared" si="68"/>
        <v>61.269000000000005</v>
      </c>
      <c r="N192" s="2">
        <f t="shared" si="69"/>
        <v>0.30950399059883454</v>
      </c>
    </row>
    <row r="193" spans="1:17" x14ac:dyDescent="0.2">
      <c r="A193" t="s">
        <v>136</v>
      </c>
      <c r="B193">
        <v>221.572</v>
      </c>
      <c r="C193">
        <f t="shared" si="63"/>
        <v>33.427999999999997</v>
      </c>
      <c r="D193">
        <v>223.72399999999999</v>
      </c>
      <c r="E193">
        <f t="shared" si="64"/>
        <v>31.27600000000001</v>
      </c>
      <c r="F193">
        <f t="shared" si="65"/>
        <v>2.1519999999999868</v>
      </c>
      <c r="H193">
        <v>185.99600000000001</v>
      </c>
      <c r="I193">
        <f t="shared" si="66"/>
        <v>69.003999999999991</v>
      </c>
      <c r="J193">
        <v>245.83099999999999</v>
      </c>
      <c r="K193">
        <f t="shared" si="67"/>
        <v>9.1690000000000111</v>
      </c>
      <c r="L193">
        <f t="shared" si="68"/>
        <v>59.83499999999998</v>
      </c>
      <c r="N193" s="2">
        <f t="shared" si="69"/>
        <v>3.5965571989637964E-2</v>
      </c>
    </row>
    <row r="194" spans="1:17" x14ac:dyDescent="0.2">
      <c r="A194" t="s">
        <v>137</v>
      </c>
      <c r="B194">
        <v>183.011</v>
      </c>
      <c r="C194">
        <f t="shared" si="63"/>
        <v>71.989000000000004</v>
      </c>
      <c r="D194">
        <v>224.58</v>
      </c>
      <c r="E194">
        <f t="shared" si="64"/>
        <v>30.419999999999987</v>
      </c>
      <c r="F194">
        <f t="shared" si="65"/>
        <v>41.569000000000017</v>
      </c>
      <c r="H194">
        <v>177.72</v>
      </c>
      <c r="I194">
        <f t="shared" si="66"/>
        <v>77.28</v>
      </c>
      <c r="J194">
        <v>245.17599999999999</v>
      </c>
      <c r="K194">
        <f t="shared" si="67"/>
        <v>9.8240000000000123</v>
      </c>
      <c r="L194">
        <f t="shared" si="68"/>
        <v>67.455999999999989</v>
      </c>
      <c r="N194" s="2">
        <f t="shared" si="69"/>
        <v>0.61623873339658475</v>
      </c>
    </row>
    <row r="195" spans="1:17" x14ac:dyDescent="0.2">
      <c r="A195" t="s">
        <v>138</v>
      </c>
      <c r="B195">
        <v>224.95400000000001</v>
      </c>
      <c r="C195">
        <f t="shared" si="63"/>
        <v>30.045999999999992</v>
      </c>
      <c r="D195">
        <v>226.96</v>
      </c>
      <c r="E195">
        <f t="shared" si="64"/>
        <v>28.039999999999992</v>
      </c>
      <c r="F195">
        <f t="shared" si="65"/>
        <v>2.0060000000000002</v>
      </c>
      <c r="H195">
        <v>175.49299999999999</v>
      </c>
      <c r="I195">
        <f t="shared" si="66"/>
        <v>79.507000000000005</v>
      </c>
      <c r="J195">
        <v>245.809</v>
      </c>
      <c r="K195">
        <f t="shared" si="67"/>
        <v>9.1910000000000025</v>
      </c>
      <c r="L195">
        <f t="shared" si="68"/>
        <v>70.316000000000003</v>
      </c>
      <c r="N195" s="2">
        <f t="shared" si="69"/>
        <v>2.852835769952785E-2</v>
      </c>
    </row>
    <row r="196" spans="1:17" x14ac:dyDescent="0.2">
      <c r="A196" t="s">
        <v>139</v>
      </c>
      <c r="B196">
        <v>204.95099999999999</v>
      </c>
      <c r="C196">
        <f t="shared" si="63"/>
        <v>50.049000000000007</v>
      </c>
      <c r="D196">
        <v>228.81899999999999</v>
      </c>
      <c r="E196">
        <f t="shared" si="64"/>
        <v>26.181000000000012</v>
      </c>
      <c r="F196">
        <f t="shared" si="65"/>
        <v>23.867999999999995</v>
      </c>
      <c r="H196">
        <v>179.798</v>
      </c>
      <c r="I196">
        <f t="shared" si="66"/>
        <v>75.201999999999998</v>
      </c>
      <c r="J196">
        <v>246.34200000000001</v>
      </c>
      <c r="K196">
        <f t="shared" si="67"/>
        <v>8.657999999999987</v>
      </c>
      <c r="L196">
        <f t="shared" si="68"/>
        <v>66.544000000000011</v>
      </c>
      <c r="N196" s="2">
        <f t="shared" si="69"/>
        <v>0.35867997114691019</v>
      </c>
    </row>
    <row r="197" spans="1:17" x14ac:dyDescent="0.2">
      <c r="A197" t="s">
        <v>163</v>
      </c>
      <c r="B197">
        <v>109.10899999999999</v>
      </c>
      <c r="C197">
        <f t="shared" si="63"/>
        <v>145.89100000000002</v>
      </c>
      <c r="D197">
        <v>225.911</v>
      </c>
      <c r="E197">
        <f t="shared" si="64"/>
        <v>29.088999999999999</v>
      </c>
      <c r="F197">
        <f t="shared" si="65"/>
        <v>116.80200000000002</v>
      </c>
      <c r="H197">
        <v>170.28</v>
      </c>
      <c r="I197">
        <f t="shared" si="66"/>
        <v>84.72</v>
      </c>
      <c r="J197">
        <v>244.94900000000001</v>
      </c>
      <c r="K197">
        <f t="shared" si="67"/>
        <v>10.050999999999988</v>
      </c>
      <c r="L197">
        <f t="shared" si="68"/>
        <v>74.669000000000011</v>
      </c>
      <c r="N197" s="2">
        <f t="shared" si="69"/>
        <v>1.5642636167619763</v>
      </c>
    </row>
    <row r="198" spans="1:17" s="1" customFormat="1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</row>
    <row r="200" spans="1:17" x14ac:dyDescent="0.2">
      <c r="A200" s="1" t="s">
        <v>143</v>
      </c>
      <c r="B200" s="1" t="s">
        <v>1</v>
      </c>
      <c r="C200" s="1" t="s">
        <v>6</v>
      </c>
      <c r="D200" s="1" t="s">
        <v>117</v>
      </c>
      <c r="E200" s="1" t="s">
        <v>118</v>
      </c>
      <c r="F200" s="1" t="s">
        <v>120</v>
      </c>
      <c r="G200" s="1"/>
      <c r="H200" s="1" t="s">
        <v>7</v>
      </c>
      <c r="I200" s="1" t="s">
        <v>121</v>
      </c>
      <c r="J200" s="1" t="s">
        <v>3</v>
      </c>
      <c r="K200" s="1" t="s">
        <v>122</v>
      </c>
      <c r="L200" s="1" t="s">
        <v>123</v>
      </c>
      <c r="M200" s="1"/>
      <c r="N200" s="1" t="s">
        <v>14</v>
      </c>
      <c r="O200" s="1"/>
      <c r="P200" s="13" t="s">
        <v>153</v>
      </c>
      <c r="Q200" s="1"/>
    </row>
    <row r="201" spans="1:17" x14ac:dyDescent="0.2">
      <c r="A201" t="s">
        <v>135</v>
      </c>
      <c r="B201">
        <v>75.75</v>
      </c>
      <c r="C201">
        <f>255-B201</f>
        <v>179.25</v>
      </c>
      <c r="D201">
        <v>196.227</v>
      </c>
      <c r="E201">
        <f>255-D201</f>
        <v>58.772999999999996</v>
      </c>
      <c r="F201">
        <f>C201-E201</f>
        <v>120.477</v>
      </c>
      <c r="H201">
        <v>106.402</v>
      </c>
      <c r="I201">
        <f>255-H201</f>
        <v>148.59800000000001</v>
      </c>
      <c r="J201">
        <v>237.11699999999999</v>
      </c>
      <c r="K201">
        <f>255-J201</f>
        <v>17.88300000000001</v>
      </c>
      <c r="L201">
        <f>I201-K201</f>
        <v>130.715</v>
      </c>
      <c r="N201" s="2">
        <f>F201/L201</f>
        <v>0.92167693072715451</v>
      </c>
      <c r="O201" t="s">
        <v>146</v>
      </c>
      <c r="P201" s="14">
        <f>N203-N202</f>
        <v>0.4373269471131781</v>
      </c>
    </row>
    <row r="202" spans="1:17" x14ac:dyDescent="0.2">
      <c r="A202" t="s">
        <v>97</v>
      </c>
      <c r="B202">
        <v>177.167</v>
      </c>
      <c r="C202">
        <f t="shared" ref="C202:C213" si="70">255-B202</f>
        <v>77.832999999999998</v>
      </c>
      <c r="D202">
        <v>184</v>
      </c>
      <c r="E202">
        <f t="shared" ref="E202:E213" si="71">255-D202</f>
        <v>71</v>
      </c>
      <c r="F202">
        <f t="shared" ref="F202:F213" si="72">C202-E202</f>
        <v>6.8329999999999984</v>
      </c>
      <c r="H202">
        <v>159.66</v>
      </c>
      <c r="I202">
        <f t="shared" ref="I202:I213" si="73">255-H202</f>
        <v>95.34</v>
      </c>
      <c r="J202">
        <v>244.726</v>
      </c>
      <c r="K202">
        <f t="shared" ref="K202:K213" si="74">255-J202</f>
        <v>10.274000000000001</v>
      </c>
      <c r="L202">
        <f t="shared" ref="L202:L213" si="75">I202-K202</f>
        <v>85.066000000000003</v>
      </c>
      <c r="N202" s="2">
        <f t="shared" ref="N202:N213" si="76">F202/L202</f>
        <v>8.0325864622763476E-2</v>
      </c>
      <c r="O202" t="s">
        <v>147</v>
      </c>
      <c r="P202" s="14">
        <f>N205-N204</f>
        <v>0.52802128600204801</v>
      </c>
    </row>
    <row r="203" spans="1:17" x14ac:dyDescent="0.2">
      <c r="A203" t="s">
        <v>99</v>
      </c>
      <c r="B203">
        <v>155.172</v>
      </c>
      <c r="C203">
        <f t="shared" si="70"/>
        <v>99.828000000000003</v>
      </c>
      <c r="D203">
        <v>186.93</v>
      </c>
      <c r="E203">
        <f t="shared" si="71"/>
        <v>68.069999999999993</v>
      </c>
      <c r="F203">
        <f t="shared" si="72"/>
        <v>31.75800000000001</v>
      </c>
      <c r="H203">
        <v>183.76400000000001</v>
      </c>
      <c r="I203">
        <f t="shared" si="73"/>
        <v>71.23599999999999</v>
      </c>
      <c r="J203">
        <v>245.114</v>
      </c>
      <c r="K203">
        <f t="shared" si="74"/>
        <v>9.8859999999999957</v>
      </c>
      <c r="L203">
        <f t="shared" si="75"/>
        <v>61.349999999999994</v>
      </c>
      <c r="N203" s="2">
        <f t="shared" si="76"/>
        <v>0.51765281173594158</v>
      </c>
      <c r="O203" t="s">
        <v>148</v>
      </c>
      <c r="P203" s="14">
        <f>N207-N206</f>
        <v>0.51479842528071151</v>
      </c>
    </row>
    <row r="204" spans="1:17" x14ac:dyDescent="0.2">
      <c r="A204" t="s">
        <v>101</v>
      </c>
      <c r="B204">
        <v>175.93799999999999</v>
      </c>
      <c r="C204">
        <f t="shared" si="70"/>
        <v>79.062000000000012</v>
      </c>
      <c r="D204">
        <v>182.10900000000001</v>
      </c>
      <c r="E204">
        <f t="shared" si="71"/>
        <v>72.890999999999991</v>
      </c>
      <c r="F204">
        <f t="shared" si="72"/>
        <v>6.1710000000000207</v>
      </c>
      <c r="H204">
        <v>147.96</v>
      </c>
      <c r="I204">
        <f t="shared" si="73"/>
        <v>107.03999999999999</v>
      </c>
      <c r="J204">
        <v>245.095</v>
      </c>
      <c r="K204">
        <f t="shared" si="74"/>
        <v>9.9050000000000011</v>
      </c>
      <c r="L204">
        <f t="shared" si="75"/>
        <v>97.134999999999991</v>
      </c>
      <c r="N204" s="2">
        <f t="shared" si="76"/>
        <v>6.3530138467082109E-2</v>
      </c>
      <c r="O204" t="s">
        <v>149</v>
      </c>
      <c r="P204" s="14">
        <f>N209-N208</f>
        <v>0.3196839770648599</v>
      </c>
    </row>
    <row r="205" spans="1:17" x14ac:dyDescent="0.2">
      <c r="A205" t="s">
        <v>103</v>
      </c>
      <c r="B205">
        <v>139.44300000000001</v>
      </c>
      <c r="C205">
        <f t="shared" si="70"/>
        <v>115.55699999999999</v>
      </c>
      <c r="D205">
        <v>186.411</v>
      </c>
      <c r="E205">
        <f t="shared" si="71"/>
        <v>68.588999999999999</v>
      </c>
      <c r="F205">
        <f t="shared" si="72"/>
        <v>46.967999999999989</v>
      </c>
      <c r="H205">
        <v>165.44499999999999</v>
      </c>
      <c r="I205">
        <f t="shared" si="73"/>
        <v>89.555000000000007</v>
      </c>
      <c r="J205">
        <v>244.84299999999999</v>
      </c>
      <c r="K205">
        <f t="shared" si="74"/>
        <v>10.157000000000011</v>
      </c>
      <c r="L205">
        <f t="shared" si="75"/>
        <v>79.397999999999996</v>
      </c>
      <c r="N205" s="2">
        <f t="shared" si="76"/>
        <v>0.59155142446913012</v>
      </c>
      <c r="O205" t="s">
        <v>150</v>
      </c>
      <c r="P205" s="14">
        <f>N211-N210</f>
        <v>0.53454725536442382</v>
      </c>
    </row>
    <row r="206" spans="1:17" x14ac:dyDescent="0.2">
      <c r="A206" t="s">
        <v>105</v>
      </c>
      <c r="B206">
        <v>188.565</v>
      </c>
      <c r="C206">
        <f t="shared" si="70"/>
        <v>66.435000000000002</v>
      </c>
      <c r="D206">
        <v>189.86699999999999</v>
      </c>
      <c r="E206">
        <f t="shared" si="71"/>
        <v>65.13300000000001</v>
      </c>
      <c r="F206">
        <f t="shared" si="72"/>
        <v>1.3019999999999925</v>
      </c>
      <c r="H206">
        <v>154.94</v>
      </c>
      <c r="I206">
        <f t="shared" si="73"/>
        <v>100.06</v>
      </c>
      <c r="J206">
        <v>244.99299999999999</v>
      </c>
      <c r="K206">
        <f t="shared" si="74"/>
        <v>10.007000000000005</v>
      </c>
      <c r="L206">
        <f t="shared" si="75"/>
        <v>90.052999999999997</v>
      </c>
      <c r="N206" s="2">
        <f t="shared" si="76"/>
        <v>1.4458152421351787E-2</v>
      </c>
      <c r="O206" t="s">
        <v>152</v>
      </c>
      <c r="P206" s="14">
        <f>N213-N212</f>
        <v>0.31382125106307113</v>
      </c>
    </row>
    <row r="207" spans="1:17" x14ac:dyDescent="0.2">
      <c r="A207" t="s">
        <v>107</v>
      </c>
      <c r="B207">
        <v>152.096</v>
      </c>
      <c r="C207">
        <f t="shared" si="70"/>
        <v>102.904</v>
      </c>
      <c r="D207">
        <v>196.833</v>
      </c>
      <c r="E207">
        <f t="shared" si="71"/>
        <v>58.167000000000002</v>
      </c>
      <c r="F207">
        <f t="shared" si="72"/>
        <v>44.736999999999995</v>
      </c>
      <c r="H207">
        <v>160.57400000000001</v>
      </c>
      <c r="I207">
        <f t="shared" si="73"/>
        <v>94.425999999999988</v>
      </c>
      <c r="J207">
        <v>245.102</v>
      </c>
      <c r="K207">
        <f t="shared" si="74"/>
        <v>9.8979999999999961</v>
      </c>
      <c r="L207">
        <f t="shared" si="75"/>
        <v>84.527999999999992</v>
      </c>
      <c r="N207" s="2">
        <f t="shared" si="76"/>
        <v>0.52925657770206325</v>
      </c>
    </row>
    <row r="208" spans="1:17" x14ac:dyDescent="0.2">
      <c r="A208" t="s">
        <v>109</v>
      </c>
      <c r="B208">
        <v>193.047</v>
      </c>
      <c r="C208">
        <f t="shared" si="70"/>
        <v>61.953000000000003</v>
      </c>
      <c r="D208">
        <v>198.477</v>
      </c>
      <c r="E208">
        <f t="shared" si="71"/>
        <v>56.522999999999996</v>
      </c>
      <c r="F208">
        <f t="shared" si="72"/>
        <v>5.4300000000000068</v>
      </c>
      <c r="H208">
        <v>162.38800000000001</v>
      </c>
      <c r="I208">
        <f t="shared" si="73"/>
        <v>92.611999999999995</v>
      </c>
      <c r="J208">
        <v>242.81700000000001</v>
      </c>
      <c r="K208">
        <f t="shared" si="74"/>
        <v>12.182999999999993</v>
      </c>
      <c r="L208">
        <f t="shared" si="75"/>
        <v>80.429000000000002</v>
      </c>
      <c r="N208" s="2">
        <f t="shared" si="76"/>
        <v>6.75129617426551E-2</v>
      </c>
    </row>
    <row r="209" spans="1:17" x14ac:dyDescent="0.2">
      <c r="A209" t="s">
        <v>111</v>
      </c>
      <c r="B209">
        <v>173.67699999999999</v>
      </c>
      <c r="C209">
        <f t="shared" si="70"/>
        <v>81.323000000000008</v>
      </c>
      <c r="D209">
        <v>198.36699999999999</v>
      </c>
      <c r="E209">
        <f t="shared" si="71"/>
        <v>56.63300000000001</v>
      </c>
      <c r="F209">
        <f t="shared" si="72"/>
        <v>24.689999999999998</v>
      </c>
      <c r="H209">
        <v>182.398</v>
      </c>
      <c r="I209">
        <f t="shared" si="73"/>
        <v>72.602000000000004</v>
      </c>
      <c r="J209">
        <v>246.16399999999999</v>
      </c>
      <c r="K209">
        <f t="shared" si="74"/>
        <v>8.8360000000000127</v>
      </c>
      <c r="L209">
        <f t="shared" si="75"/>
        <v>63.765999999999991</v>
      </c>
      <c r="N209" s="2">
        <f t="shared" si="76"/>
        <v>0.38719693880751499</v>
      </c>
    </row>
    <row r="210" spans="1:17" x14ac:dyDescent="0.2">
      <c r="A210" t="s">
        <v>136</v>
      </c>
      <c r="B210">
        <v>192.68799999999999</v>
      </c>
      <c r="C210">
        <f t="shared" si="70"/>
        <v>62.312000000000012</v>
      </c>
      <c r="D210">
        <v>199.16399999999999</v>
      </c>
      <c r="E210">
        <f t="shared" si="71"/>
        <v>55.836000000000013</v>
      </c>
      <c r="F210">
        <f t="shared" si="72"/>
        <v>6.4759999999999991</v>
      </c>
      <c r="H210">
        <v>162.99</v>
      </c>
      <c r="I210">
        <f t="shared" si="73"/>
        <v>92.009999999999991</v>
      </c>
      <c r="J210">
        <v>243.398</v>
      </c>
      <c r="K210">
        <f t="shared" si="74"/>
        <v>11.602000000000004</v>
      </c>
      <c r="L210">
        <f t="shared" si="75"/>
        <v>80.407999999999987</v>
      </c>
      <c r="N210" s="2">
        <f t="shared" si="76"/>
        <v>8.0539249825887976E-2</v>
      </c>
    </row>
    <row r="211" spans="1:17" x14ac:dyDescent="0.2">
      <c r="A211" t="s">
        <v>137</v>
      </c>
      <c r="B211">
        <v>151.68199999999999</v>
      </c>
      <c r="C211">
        <f t="shared" si="70"/>
        <v>103.31800000000001</v>
      </c>
      <c r="D211">
        <v>196.12200000000001</v>
      </c>
      <c r="E211">
        <f t="shared" si="71"/>
        <v>58.877999999999986</v>
      </c>
      <c r="F211">
        <f t="shared" si="72"/>
        <v>44.440000000000026</v>
      </c>
      <c r="H211">
        <v>170.65199999999999</v>
      </c>
      <c r="I211">
        <f t="shared" si="73"/>
        <v>84.348000000000013</v>
      </c>
      <c r="J211">
        <v>242.90199999999999</v>
      </c>
      <c r="K211">
        <f t="shared" si="74"/>
        <v>12.098000000000013</v>
      </c>
      <c r="L211">
        <f t="shared" si="75"/>
        <v>72.25</v>
      </c>
      <c r="N211" s="2">
        <f t="shared" si="76"/>
        <v>0.61508650519031183</v>
      </c>
    </row>
    <row r="212" spans="1:17" x14ac:dyDescent="0.2">
      <c r="A212" t="s">
        <v>140</v>
      </c>
      <c r="B212">
        <v>189.76</v>
      </c>
      <c r="C212">
        <f t="shared" si="70"/>
        <v>65.240000000000009</v>
      </c>
      <c r="D212">
        <v>198.745</v>
      </c>
      <c r="E212">
        <f t="shared" si="71"/>
        <v>56.254999999999995</v>
      </c>
      <c r="F212">
        <f t="shared" si="72"/>
        <v>8.9850000000000136</v>
      </c>
      <c r="H212">
        <v>181.893</v>
      </c>
      <c r="I212">
        <f t="shared" si="73"/>
        <v>73.106999999999999</v>
      </c>
      <c r="J212">
        <v>244.869</v>
      </c>
      <c r="K212">
        <f t="shared" si="74"/>
        <v>10.131</v>
      </c>
      <c r="L212">
        <f t="shared" si="75"/>
        <v>62.975999999999999</v>
      </c>
      <c r="N212" s="2">
        <f t="shared" si="76"/>
        <v>0.14267339939024412</v>
      </c>
    </row>
    <row r="213" spans="1:17" x14ac:dyDescent="0.2">
      <c r="A213" t="s">
        <v>141</v>
      </c>
      <c r="B213">
        <v>169.43799999999999</v>
      </c>
      <c r="C213">
        <f t="shared" si="70"/>
        <v>85.562000000000012</v>
      </c>
      <c r="D213">
        <v>201.31</v>
      </c>
      <c r="E213">
        <f t="shared" si="71"/>
        <v>53.69</v>
      </c>
      <c r="F213">
        <f t="shared" si="72"/>
        <v>31.872000000000014</v>
      </c>
      <c r="H213">
        <v>175.29300000000001</v>
      </c>
      <c r="I213">
        <f t="shared" si="73"/>
        <v>79.706999999999994</v>
      </c>
      <c r="J213">
        <v>245.11199999999999</v>
      </c>
      <c r="K213">
        <f t="shared" si="74"/>
        <v>9.8880000000000052</v>
      </c>
      <c r="L213">
        <f t="shared" si="75"/>
        <v>69.818999999999988</v>
      </c>
      <c r="N213" s="2">
        <f t="shared" si="76"/>
        <v>0.45649465045331528</v>
      </c>
    </row>
    <row r="214" spans="1:17" s="1" customFormat="1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</row>
    <row r="216" spans="1:17" x14ac:dyDescent="0.2">
      <c r="A216" s="1" t="s">
        <v>144</v>
      </c>
      <c r="B216" s="1" t="s">
        <v>1</v>
      </c>
      <c r="C216" s="1" t="s">
        <v>6</v>
      </c>
      <c r="D216" s="1" t="s">
        <v>117</v>
      </c>
      <c r="E216" s="1" t="s">
        <v>118</v>
      </c>
      <c r="F216" s="1" t="s">
        <v>120</v>
      </c>
      <c r="G216" s="1"/>
      <c r="H216" s="1" t="s">
        <v>7</v>
      </c>
      <c r="I216" s="1" t="s">
        <v>121</v>
      </c>
      <c r="J216" s="1" t="s">
        <v>3</v>
      </c>
      <c r="K216" s="1" t="s">
        <v>122</v>
      </c>
      <c r="L216" s="1" t="s">
        <v>123</v>
      </c>
      <c r="M216" s="1"/>
      <c r="N216" s="1" t="s">
        <v>14</v>
      </c>
      <c r="O216" s="1"/>
      <c r="P216" s="13" t="s">
        <v>155</v>
      </c>
      <c r="Q216" s="1"/>
    </row>
    <row r="217" spans="1:17" x14ac:dyDescent="0.2">
      <c r="A217" t="s">
        <v>97</v>
      </c>
      <c r="B217">
        <v>160.26499999999999</v>
      </c>
      <c r="C217">
        <f>255-B217</f>
        <v>94.735000000000014</v>
      </c>
      <c r="D217">
        <v>160.28299999999999</v>
      </c>
      <c r="E217">
        <f>255-D217</f>
        <v>94.717000000000013</v>
      </c>
      <c r="F217" s="2">
        <f>C217-E217</f>
        <v>1.8000000000000682E-2</v>
      </c>
      <c r="H217">
        <v>172.50899999999999</v>
      </c>
      <c r="I217">
        <f>255-H217</f>
        <v>82.491000000000014</v>
      </c>
      <c r="J217">
        <v>203.40299999999999</v>
      </c>
      <c r="K217">
        <f>255-J217</f>
        <v>51.597000000000008</v>
      </c>
      <c r="L217">
        <f>I217-K217</f>
        <v>30.894000000000005</v>
      </c>
      <c r="N217" s="2">
        <f>F217/L217</f>
        <v>5.8263740532144362E-4</v>
      </c>
      <c r="O217" t="s">
        <v>146</v>
      </c>
      <c r="P217" s="14">
        <f>N218-N217</f>
        <v>0.78808797102496664</v>
      </c>
    </row>
    <row r="218" spans="1:17" x14ac:dyDescent="0.2">
      <c r="A218" t="s">
        <v>99</v>
      </c>
      <c r="B218">
        <v>135.916</v>
      </c>
      <c r="C218">
        <f t="shared" ref="C218:C231" si="77">255-B218</f>
        <v>119.084</v>
      </c>
      <c r="D218">
        <v>160.726</v>
      </c>
      <c r="E218">
        <f t="shared" ref="E218:E231" si="78">255-D218</f>
        <v>94.274000000000001</v>
      </c>
      <c r="F218" s="2">
        <f t="shared" ref="F218:F230" si="79">C218-E218</f>
        <v>24.810000000000002</v>
      </c>
      <c r="H218">
        <v>173.23599999999999</v>
      </c>
      <c r="I218">
        <f t="shared" ref="I218:I231" si="80">255-H218</f>
        <v>81.76400000000001</v>
      </c>
      <c r="J218">
        <v>204.69399999999999</v>
      </c>
      <c r="K218">
        <f t="shared" ref="K218:K231" si="81">255-J218</f>
        <v>50.306000000000012</v>
      </c>
      <c r="L218">
        <f t="shared" ref="L218:L231" si="82">I218-K218</f>
        <v>31.457999999999998</v>
      </c>
      <c r="N218" s="2">
        <f t="shared" ref="N218:N230" si="83">F218/L218</f>
        <v>0.78867060843028813</v>
      </c>
      <c r="O218" t="s">
        <v>147</v>
      </c>
      <c r="P218" s="14">
        <f>N220-N219</f>
        <v>0.78866676461770491</v>
      </c>
    </row>
    <row r="219" spans="1:17" x14ac:dyDescent="0.2">
      <c r="A219" t="s">
        <v>101</v>
      </c>
      <c r="B219">
        <v>141.58000000000001</v>
      </c>
      <c r="C219">
        <f t="shared" si="77"/>
        <v>113.41999999999999</v>
      </c>
      <c r="D219">
        <v>142.39400000000001</v>
      </c>
      <c r="E219">
        <f t="shared" si="78"/>
        <v>112.60599999999999</v>
      </c>
      <c r="F219" s="2">
        <f t="shared" si="79"/>
        <v>0.81399999999999295</v>
      </c>
      <c r="H219">
        <v>153.202</v>
      </c>
      <c r="I219">
        <f t="shared" si="80"/>
        <v>101.798</v>
      </c>
      <c r="J219">
        <v>201.953</v>
      </c>
      <c r="K219">
        <f t="shared" si="81"/>
        <v>53.046999999999997</v>
      </c>
      <c r="L219">
        <f t="shared" si="82"/>
        <v>48.751000000000005</v>
      </c>
      <c r="N219" s="2">
        <f t="shared" si="83"/>
        <v>1.6697093392955897E-2</v>
      </c>
      <c r="O219" t="s">
        <v>148</v>
      </c>
      <c r="P219" s="14">
        <f>N222-N221</f>
        <v>0.80693825330643287</v>
      </c>
    </row>
    <row r="220" spans="1:17" x14ac:dyDescent="0.2">
      <c r="A220" t="s">
        <v>103</v>
      </c>
      <c r="B220">
        <v>117.492</v>
      </c>
      <c r="C220">
        <f t="shared" si="77"/>
        <v>137.50799999999998</v>
      </c>
      <c r="D220">
        <v>156.47</v>
      </c>
      <c r="E220">
        <f t="shared" si="78"/>
        <v>98.53</v>
      </c>
      <c r="F220" s="2">
        <f t="shared" si="79"/>
        <v>38.97799999999998</v>
      </c>
      <c r="H220">
        <v>156.28299999999999</v>
      </c>
      <c r="I220">
        <f t="shared" si="80"/>
        <v>98.717000000000013</v>
      </c>
      <c r="J220">
        <v>204.68100000000001</v>
      </c>
      <c r="K220">
        <f t="shared" si="81"/>
        <v>50.318999999999988</v>
      </c>
      <c r="L220">
        <f t="shared" si="82"/>
        <v>48.398000000000025</v>
      </c>
      <c r="N220" s="2">
        <f t="shared" si="83"/>
        <v>0.80536385801066079</v>
      </c>
      <c r="O220" t="s">
        <v>149</v>
      </c>
      <c r="P220" s="14">
        <f>N224-N223</f>
        <v>0.46408722363912724</v>
      </c>
    </row>
    <row r="221" spans="1:17" x14ac:dyDescent="0.2">
      <c r="A221" t="s">
        <v>105</v>
      </c>
      <c r="B221">
        <v>169.64599999999999</v>
      </c>
      <c r="C221">
        <f t="shared" si="77"/>
        <v>85.354000000000013</v>
      </c>
      <c r="D221">
        <v>173.148</v>
      </c>
      <c r="E221">
        <f t="shared" si="78"/>
        <v>81.852000000000004</v>
      </c>
      <c r="F221" s="2">
        <f t="shared" si="79"/>
        <v>3.5020000000000095</v>
      </c>
      <c r="H221">
        <v>149.61099999999999</v>
      </c>
      <c r="I221">
        <f t="shared" si="80"/>
        <v>105.38900000000001</v>
      </c>
      <c r="J221">
        <v>199.68100000000001</v>
      </c>
      <c r="K221">
        <f t="shared" si="81"/>
        <v>55.318999999999988</v>
      </c>
      <c r="L221">
        <f t="shared" si="82"/>
        <v>50.070000000000022</v>
      </c>
      <c r="N221" s="2">
        <f t="shared" si="83"/>
        <v>6.9942081086479091E-2</v>
      </c>
      <c r="O221" t="s">
        <v>150</v>
      </c>
      <c r="P221" s="14">
        <f>N226-N225</f>
        <v>0.37911500761124423</v>
      </c>
    </row>
    <row r="222" spans="1:17" x14ac:dyDescent="0.2">
      <c r="A222" t="s">
        <v>107</v>
      </c>
      <c r="B222">
        <v>135.417</v>
      </c>
      <c r="C222">
        <f t="shared" si="77"/>
        <v>119.583</v>
      </c>
      <c r="D222">
        <v>170.45099999999999</v>
      </c>
      <c r="E222">
        <f t="shared" si="78"/>
        <v>84.549000000000007</v>
      </c>
      <c r="F222" s="2">
        <f t="shared" si="79"/>
        <v>35.033999999999992</v>
      </c>
      <c r="H222">
        <v>166.49100000000001</v>
      </c>
      <c r="I222">
        <f t="shared" si="80"/>
        <v>88.508999999999986</v>
      </c>
      <c r="J222">
        <v>206.44399999999999</v>
      </c>
      <c r="K222">
        <f t="shared" si="81"/>
        <v>48.556000000000012</v>
      </c>
      <c r="L222">
        <f t="shared" si="82"/>
        <v>39.952999999999975</v>
      </c>
      <c r="N222" s="2">
        <f t="shared" si="83"/>
        <v>0.87688033439291202</v>
      </c>
      <c r="O222" t="s">
        <v>151</v>
      </c>
      <c r="P222" s="14">
        <f>N228-N227</f>
        <v>0.23565145933188159</v>
      </c>
    </row>
    <row r="223" spans="1:17" x14ac:dyDescent="0.2">
      <c r="A223" t="s">
        <v>109</v>
      </c>
      <c r="B223">
        <v>155.923</v>
      </c>
      <c r="C223">
        <f t="shared" si="77"/>
        <v>99.076999999999998</v>
      </c>
      <c r="D223">
        <v>156.25800000000001</v>
      </c>
      <c r="E223">
        <f t="shared" si="78"/>
        <v>98.74199999999999</v>
      </c>
      <c r="F223" s="2">
        <f t="shared" si="79"/>
        <v>0.33500000000000796</v>
      </c>
      <c r="H223">
        <v>192.762</v>
      </c>
      <c r="I223">
        <f t="shared" si="80"/>
        <v>62.238</v>
      </c>
      <c r="J223">
        <v>205.67</v>
      </c>
      <c r="K223">
        <f t="shared" si="81"/>
        <v>49.330000000000013</v>
      </c>
      <c r="L223">
        <f t="shared" si="82"/>
        <v>12.907999999999987</v>
      </c>
      <c r="N223" s="2">
        <f t="shared" si="83"/>
        <v>2.5952897427952301E-2</v>
      </c>
      <c r="O223" t="s">
        <v>152</v>
      </c>
      <c r="P223" s="14">
        <f>N230-N229</f>
        <v>0.27058728571230206</v>
      </c>
    </row>
    <row r="224" spans="1:17" x14ac:dyDescent="0.2">
      <c r="A224" t="s">
        <v>111</v>
      </c>
      <c r="B224">
        <v>141.631</v>
      </c>
      <c r="C224">
        <f t="shared" si="77"/>
        <v>113.369</v>
      </c>
      <c r="D224">
        <v>155.55500000000001</v>
      </c>
      <c r="E224">
        <f t="shared" si="78"/>
        <v>99.444999999999993</v>
      </c>
      <c r="F224" s="2">
        <f t="shared" si="79"/>
        <v>13.924000000000007</v>
      </c>
      <c r="H224">
        <v>180.43299999999999</v>
      </c>
      <c r="I224">
        <f t="shared" si="80"/>
        <v>74.567000000000007</v>
      </c>
      <c r="J224">
        <v>208.84700000000001</v>
      </c>
      <c r="K224">
        <f t="shared" si="81"/>
        <v>46.152999999999992</v>
      </c>
      <c r="L224">
        <f t="shared" si="82"/>
        <v>28.414000000000016</v>
      </c>
      <c r="N224" s="2">
        <f t="shared" si="83"/>
        <v>0.49004012106707956</v>
      </c>
    </row>
    <row r="225" spans="1:17" x14ac:dyDescent="0.2">
      <c r="A225" t="s">
        <v>136</v>
      </c>
      <c r="B225">
        <v>148.70500000000001</v>
      </c>
      <c r="C225">
        <f t="shared" si="77"/>
        <v>106.29499999999999</v>
      </c>
      <c r="D225">
        <v>151.041</v>
      </c>
      <c r="E225">
        <f t="shared" si="78"/>
        <v>103.959</v>
      </c>
      <c r="F225" s="2">
        <f t="shared" si="79"/>
        <v>2.3359999999999843</v>
      </c>
      <c r="H225">
        <v>158.43100000000001</v>
      </c>
      <c r="I225">
        <f t="shared" si="80"/>
        <v>96.568999999999988</v>
      </c>
      <c r="J225">
        <v>200.43299999999999</v>
      </c>
      <c r="K225">
        <f t="shared" si="81"/>
        <v>54.567000000000007</v>
      </c>
      <c r="L225">
        <f t="shared" si="82"/>
        <v>42.001999999999981</v>
      </c>
      <c r="N225" s="2">
        <f t="shared" si="83"/>
        <v>5.5616399219084456E-2</v>
      </c>
    </row>
    <row r="226" spans="1:17" x14ac:dyDescent="0.2">
      <c r="A226" t="s">
        <v>137</v>
      </c>
      <c r="B226">
        <v>121.20399999999999</v>
      </c>
      <c r="C226">
        <f t="shared" si="77"/>
        <v>133.79599999999999</v>
      </c>
      <c r="D226">
        <v>135.601</v>
      </c>
      <c r="E226">
        <f t="shared" si="78"/>
        <v>119.399</v>
      </c>
      <c r="F226" s="2">
        <f t="shared" si="79"/>
        <v>14.396999999999991</v>
      </c>
      <c r="H226">
        <v>173.40600000000001</v>
      </c>
      <c r="I226">
        <f t="shared" si="80"/>
        <v>81.593999999999994</v>
      </c>
      <c r="J226">
        <v>206.523</v>
      </c>
      <c r="K226">
        <f t="shared" si="81"/>
        <v>48.477000000000004</v>
      </c>
      <c r="L226">
        <f t="shared" si="82"/>
        <v>33.11699999999999</v>
      </c>
      <c r="N226" s="2">
        <f t="shared" si="83"/>
        <v>0.43473140683032868</v>
      </c>
    </row>
    <row r="227" spans="1:17" x14ac:dyDescent="0.2">
      <c r="A227" t="s">
        <v>138</v>
      </c>
      <c r="B227">
        <v>156.315</v>
      </c>
      <c r="C227">
        <f t="shared" si="77"/>
        <v>98.685000000000002</v>
      </c>
      <c r="D227">
        <v>157.08099999999999</v>
      </c>
      <c r="E227">
        <f t="shared" si="78"/>
        <v>97.919000000000011</v>
      </c>
      <c r="F227" s="2">
        <f t="shared" si="79"/>
        <v>0.76599999999999113</v>
      </c>
      <c r="H227">
        <v>176.22200000000001</v>
      </c>
      <c r="I227">
        <f t="shared" si="80"/>
        <v>78.777999999999992</v>
      </c>
      <c r="J227">
        <v>207.71700000000001</v>
      </c>
      <c r="K227">
        <f t="shared" si="81"/>
        <v>47.282999999999987</v>
      </c>
      <c r="L227">
        <f t="shared" si="82"/>
        <v>31.495000000000005</v>
      </c>
      <c r="N227" s="2">
        <f t="shared" si="83"/>
        <v>2.432132084457822E-2</v>
      </c>
    </row>
    <row r="228" spans="1:17" x14ac:dyDescent="0.2">
      <c r="A228" t="s">
        <v>139</v>
      </c>
      <c r="B228">
        <v>161.404</v>
      </c>
      <c r="C228">
        <f t="shared" si="77"/>
        <v>93.596000000000004</v>
      </c>
      <c r="D228">
        <v>172.483</v>
      </c>
      <c r="E228">
        <f t="shared" si="78"/>
        <v>82.516999999999996</v>
      </c>
      <c r="F228" s="2">
        <f t="shared" si="79"/>
        <v>11.079000000000008</v>
      </c>
      <c r="H228">
        <v>167.239</v>
      </c>
      <c r="I228">
        <f t="shared" si="80"/>
        <v>87.760999999999996</v>
      </c>
      <c r="J228">
        <v>209.85499999999999</v>
      </c>
      <c r="K228">
        <f t="shared" si="81"/>
        <v>45.14500000000001</v>
      </c>
      <c r="L228">
        <f t="shared" si="82"/>
        <v>42.615999999999985</v>
      </c>
      <c r="N228" s="2">
        <f t="shared" si="83"/>
        <v>0.25997278017645981</v>
      </c>
    </row>
    <row r="229" spans="1:17" x14ac:dyDescent="0.2">
      <c r="A229" t="s">
        <v>140</v>
      </c>
      <c r="B229">
        <v>166.952</v>
      </c>
      <c r="C229">
        <f t="shared" si="77"/>
        <v>88.048000000000002</v>
      </c>
      <c r="D229">
        <v>176.73699999999999</v>
      </c>
      <c r="E229">
        <f t="shared" si="78"/>
        <v>78.263000000000005</v>
      </c>
      <c r="F229" s="2">
        <f t="shared" si="79"/>
        <v>9.7849999999999966</v>
      </c>
      <c r="H229">
        <v>120.009</v>
      </c>
      <c r="I229">
        <f t="shared" si="80"/>
        <v>134.99099999999999</v>
      </c>
      <c r="J229">
        <v>203.79499999999999</v>
      </c>
      <c r="K229">
        <f t="shared" si="81"/>
        <v>51.205000000000013</v>
      </c>
      <c r="L229">
        <f t="shared" si="82"/>
        <v>83.785999999999973</v>
      </c>
      <c r="N229" s="2">
        <f t="shared" si="83"/>
        <v>0.11678562050939298</v>
      </c>
    </row>
    <row r="230" spans="1:17" x14ac:dyDescent="0.2">
      <c r="A230" t="s">
        <v>141</v>
      </c>
      <c r="B230">
        <v>125.286</v>
      </c>
      <c r="C230">
        <f t="shared" si="77"/>
        <v>129.714</v>
      </c>
      <c r="D230">
        <v>155.65100000000001</v>
      </c>
      <c r="E230">
        <f t="shared" si="78"/>
        <v>99.34899999999999</v>
      </c>
      <c r="F230" s="2">
        <f t="shared" si="79"/>
        <v>30.365000000000009</v>
      </c>
      <c r="H230">
        <v>127.53</v>
      </c>
      <c r="I230">
        <f t="shared" si="80"/>
        <v>127.47</v>
      </c>
      <c r="J230">
        <v>205.917</v>
      </c>
      <c r="K230">
        <f t="shared" si="81"/>
        <v>49.082999999999998</v>
      </c>
      <c r="L230">
        <f t="shared" si="82"/>
        <v>78.387</v>
      </c>
      <c r="N230" s="2">
        <f t="shared" si="83"/>
        <v>0.38737290622169501</v>
      </c>
    </row>
    <row r="231" spans="1:17" x14ac:dyDescent="0.2">
      <c r="A231" t="s">
        <v>135</v>
      </c>
      <c r="B231">
        <v>99.052000000000007</v>
      </c>
      <c r="C231">
        <f t="shared" si="77"/>
        <v>155.94799999999998</v>
      </c>
      <c r="D231">
        <v>160.54</v>
      </c>
      <c r="E231">
        <f t="shared" si="78"/>
        <v>94.460000000000008</v>
      </c>
      <c r="F231" s="2">
        <f>C231-E231</f>
        <v>61.487999999999971</v>
      </c>
      <c r="H231">
        <v>87.744</v>
      </c>
      <c r="I231">
        <f t="shared" si="80"/>
        <v>167.256</v>
      </c>
      <c r="J231">
        <v>206.57</v>
      </c>
      <c r="K231">
        <f t="shared" si="81"/>
        <v>48.430000000000007</v>
      </c>
      <c r="L231">
        <f t="shared" si="82"/>
        <v>118.82599999999999</v>
      </c>
      <c r="N231" s="2">
        <f>F231/L231</f>
        <v>0.51746250820527473</v>
      </c>
    </row>
    <row r="232" spans="1:17" s="1" customFormat="1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</row>
    <row r="234" spans="1:17" x14ac:dyDescent="0.2">
      <c r="A234" s="1" t="s">
        <v>145</v>
      </c>
      <c r="B234" s="1" t="s">
        <v>1</v>
      </c>
      <c r="C234" s="1" t="s">
        <v>6</v>
      </c>
      <c r="D234" s="1" t="s">
        <v>117</v>
      </c>
      <c r="E234" s="1" t="s">
        <v>118</v>
      </c>
      <c r="F234" s="1" t="s">
        <v>120</v>
      </c>
      <c r="G234" s="1"/>
      <c r="H234" s="1" t="s">
        <v>7</v>
      </c>
      <c r="I234" s="1" t="s">
        <v>121</v>
      </c>
      <c r="J234" s="1" t="s">
        <v>3</v>
      </c>
      <c r="K234" s="1" t="s">
        <v>122</v>
      </c>
      <c r="L234" s="1" t="s">
        <v>123</v>
      </c>
      <c r="M234" s="1"/>
      <c r="N234" s="1" t="s">
        <v>14</v>
      </c>
      <c r="O234" s="1"/>
      <c r="P234" s="13" t="s">
        <v>153</v>
      </c>
      <c r="Q234" s="1"/>
    </row>
    <row r="235" spans="1:17" x14ac:dyDescent="0.2">
      <c r="A235" t="s">
        <v>97</v>
      </c>
      <c r="B235">
        <v>173.13499999999999</v>
      </c>
      <c r="C235">
        <f>255-B235</f>
        <v>81.865000000000009</v>
      </c>
      <c r="D235">
        <v>178.625</v>
      </c>
      <c r="E235">
        <f>255-D235</f>
        <v>76.375</v>
      </c>
      <c r="F235">
        <f>C235-E235</f>
        <v>5.4900000000000091</v>
      </c>
      <c r="H235">
        <v>141.595</v>
      </c>
      <c r="I235">
        <f>255-H235</f>
        <v>113.405</v>
      </c>
      <c r="J235">
        <v>220.24100000000001</v>
      </c>
      <c r="K235">
        <f>255-J235</f>
        <v>34.758999999999986</v>
      </c>
      <c r="L235">
        <f>I235-K235</f>
        <v>78.646000000000015</v>
      </c>
      <c r="N235" s="2">
        <f>F235/L235</f>
        <v>6.9806474582305628E-2</v>
      </c>
      <c r="O235" t="s">
        <v>146</v>
      </c>
      <c r="P235" s="14">
        <f>N236-N235</f>
        <v>0.64327294673449431</v>
      </c>
    </row>
    <row r="236" spans="1:17" x14ac:dyDescent="0.2">
      <c r="A236" t="s">
        <v>99</v>
      </c>
      <c r="B236">
        <v>163.89099999999999</v>
      </c>
      <c r="C236">
        <f t="shared" ref="C236:C248" si="84">255-B236</f>
        <v>91.109000000000009</v>
      </c>
      <c r="D236">
        <v>188.04300000000001</v>
      </c>
      <c r="E236">
        <f t="shared" ref="E236:E247" si="85">255-D236</f>
        <v>66.956999999999994</v>
      </c>
      <c r="F236">
        <f t="shared" ref="F236:F248" si="86">C236-E236</f>
        <v>24.152000000000015</v>
      </c>
      <c r="H236">
        <v>187.934</v>
      </c>
      <c r="I236">
        <f t="shared" ref="I236:I248" si="87">255-H236</f>
        <v>67.066000000000003</v>
      </c>
      <c r="J236">
        <v>221.804</v>
      </c>
      <c r="K236">
        <f t="shared" ref="K236:K248" si="88">255-J236</f>
        <v>33.195999999999998</v>
      </c>
      <c r="L236">
        <f t="shared" ref="L236:L248" si="89">I236-K236</f>
        <v>33.870000000000005</v>
      </c>
      <c r="N236" s="2">
        <f t="shared" ref="N236:N247" si="90">F236/L236</f>
        <v>0.71307942131679991</v>
      </c>
      <c r="O236" t="s">
        <v>147</v>
      </c>
      <c r="P236" s="15" t="s">
        <v>156</v>
      </c>
    </row>
    <row r="237" spans="1:17" x14ac:dyDescent="0.2">
      <c r="A237" t="s">
        <v>101</v>
      </c>
      <c r="B237">
        <v>199.47300000000001</v>
      </c>
      <c r="C237">
        <f t="shared" si="84"/>
        <v>55.526999999999987</v>
      </c>
      <c r="D237">
        <v>204.16900000000001</v>
      </c>
      <c r="E237">
        <f t="shared" si="85"/>
        <v>50.830999999999989</v>
      </c>
      <c r="F237">
        <f>C237-E237</f>
        <v>4.695999999999998</v>
      </c>
      <c r="H237">
        <v>216.33099999999999</v>
      </c>
      <c r="I237">
        <f t="shared" si="87"/>
        <v>38.669000000000011</v>
      </c>
      <c r="J237">
        <v>223.63499999999999</v>
      </c>
      <c r="K237">
        <f t="shared" si="88"/>
        <v>31.365000000000009</v>
      </c>
      <c r="L237">
        <f t="shared" si="89"/>
        <v>7.304000000000002</v>
      </c>
      <c r="N237" s="2">
        <f>F237/L237</f>
        <v>0.64293537787513644</v>
      </c>
      <c r="O237" t="s">
        <v>148</v>
      </c>
      <c r="P237" s="14">
        <f>N240-N239</f>
        <v>0.52736239352146952</v>
      </c>
    </row>
    <row r="238" spans="1:17" x14ac:dyDescent="0.2">
      <c r="A238" t="s">
        <v>103</v>
      </c>
      <c r="B238">
        <v>189.381</v>
      </c>
      <c r="C238">
        <f t="shared" si="84"/>
        <v>65.619</v>
      </c>
      <c r="D238">
        <v>202.7</v>
      </c>
      <c r="E238">
        <f t="shared" si="85"/>
        <v>52.300000000000011</v>
      </c>
      <c r="F238">
        <f t="shared" si="86"/>
        <v>13.318999999999988</v>
      </c>
      <c r="H238">
        <v>176.20599999999999</v>
      </c>
      <c r="I238">
        <f t="shared" si="87"/>
        <v>78.794000000000011</v>
      </c>
      <c r="J238">
        <v>225.095</v>
      </c>
      <c r="K238">
        <f t="shared" si="88"/>
        <v>29.905000000000001</v>
      </c>
      <c r="L238">
        <f t="shared" si="89"/>
        <v>48.88900000000001</v>
      </c>
      <c r="N238" s="2">
        <f t="shared" si="90"/>
        <v>0.27243347174210936</v>
      </c>
      <c r="O238" t="s">
        <v>149</v>
      </c>
      <c r="P238" s="14">
        <f>N242-N241</f>
        <v>0.34770715444721972</v>
      </c>
    </row>
    <row r="239" spans="1:17" x14ac:dyDescent="0.2">
      <c r="A239" t="s">
        <v>105</v>
      </c>
      <c r="B239">
        <v>167.21799999999999</v>
      </c>
      <c r="C239">
        <f t="shared" si="84"/>
        <v>87.782000000000011</v>
      </c>
      <c r="D239">
        <v>169.696</v>
      </c>
      <c r="E239">
        <f t="shared" si="85"/>
        <v>85.304000000000002</v>
      </c>
      <c r="F239">
        <f t="shared" si="86"/>
        <v>2.4780000000000086</v>
      </c>
      <c r="H239">
        <v>139.41800000000001</v>
      </c>
      <c r="I239">
        <f t="shared" si="87"/>
        <v>115.58199999999999</v>
      </c>
      <c r="J239">
        <v>217.07900000000001</v>
      </c>
      <c r="K239">
        <f t="shared" si="88"/>
        <v>37.920999999999992</v>
      </c>
      <c r="L239">
        <f t="shared" si="89"/>
        <v>77.661000000000001</v>
      </c>
      <c r="N239" s="2">
        <f t="shared" si="90"/>
        <v>3.1907907443890868E-2</v>
      </c>
      <c r="O239" t="s">
        <v>150</v>
      </c>
      <c r="P239" s="14">
        <f>N244-N243</f>
        <v>0.79152413049631198</v>
      </c>
    </row>
    <row r="240" spans="1:17" x14ac:dyDescent="0.2">
      <c r="A240" t="s">
        <v>107</v>
      </c>
      <c r="B240">
        <v>146.97</v>
      </c>
      <c r="C240">
        <f t="shared" si="84"/>
        <v>108.03</v>
      </c>
      <c r="D240">
        <v>178.48599999999999</v>
      </c>
      <c r="E240">
        <f t="shared" si="85"/>
        <v>76.51400000000001</v>
      </c>
      <c r="F240">
        <f t="shared" si="86"/>
        <v>31.515999999999991</v>
      </c>
      <c r="H240">
        <v>164.5</v>
      </c>
      <c r="I240">
        <f t="shared" si="87"/>
        <v>90.5</v>
      </c>
      <c r="J240">
        <v>220.852</v>
      </c>
      <c r="K240">
        <f t="shared" si="88"/>
        <v>34.147999999999996</v>
      </c>
      <c r="L240">
        <f t="shared" si="89"/>
        <v>56.352000000000004</v>
      </c>
      <c r="N240" s="2">
        <f t="shared" si="90"/>
        <v>0.55927030096536035</v>
      </c>
      <c r="O240" t="s">
        <v>151</v>
      </c>
      <c r="P240" s="14">
        <f>N246-N245</f>
        <v>0.36612259239163514</v>
      </c>
    </row>
    <row r="241" spans="1:17" x14ac:dyDescent="0.2">
      <c r="A241" t="s">
        <v>109</v>
      </c>
      <c r="B241">
        <v>185.15</v>
      </c>
      <c r="C241">
        <f t="shared" si="84"/>
        <v>69.849999999999994</v>
      </c>
      <c r="D241">
        <v>185.21799999999999</v>
      </c>
      <c r="E241">
        <f t="shared" si="85"/>
        <v>69.782000000000011</v>
      </c>
      <c r="F241">
        <f t="shared" si="86"/>
        <v>6.7999999999983629E-2</v>
      </c>
      <c r="H241">
        <v>151.392</v>
      </c>
      <c r="I241">
        <f t="shared" si="87"/>
        <v>103.608</v>
      </c>
      <c r="J241">
        <v>221.15600000000001</v>
      </c>
      <c r="K241">
        <f t="shared" si="88"/>
        <v>33.843999999999994</v>
      </c>
      <c r="L241">
        <f t="shared" si="89"/>
        <v>69.76400000000001</v>
      </c>
      <c r="N241" s="2">
        <f t="shared" si="90"/>
        <v>9.7471475259422653E-4</v>
      </c>
      <c r="O241" t="s">
        <v>152</v>
      </c>
      <c r="P241" s="14">
        <f>N248-N247</f>
        <v>0.77444170314976046</v>
      </c>
    </row>
    <row r="242" spans="1:17" x14ac:dyDescent="0.2">
      <c r="A242" t="s">
        <v>111</v>
      </c>
      <c r="B242">
        <v>173.08099999999999</v>
      </c>
      <c r="C242">
        <f t="shared" si="84"/>
        <v>81.919000000000011</v>
      </c>
      <c r="D242">
        <v>198.55500000000001</v>
      </c>
      <c r="E242">
        <f t="shared" si="85"/>
        <v>56.444999999999993</v>
      </c>
      <c r="F242">
        <f t="shared" si="86"/>
        <v>25.474000000000018</v>
      </c>
      <c r="H242">
        <v>150.92099999999999</v>
      </c>
      <c r="I242">
        <f t="shared" si="87"/>
        <v>104.07900000000001</v>
      </c>
      <c r="J242">
        <v>223.97900000000001</v>
      </c>
      <c r="K242">
        <f t="shared" si="88"/>
        <v>31.020999999999987</v>
      </c>
      <c r="L242">
        <f t="shared" si="89"/>
        <v>73.058000000000021</v>
      </c>
      <c r="N242" s="2">
        <f t="shared" si="90"/>
        <v>0.34868186919981398</v>
      </c>
    </row>
    <row r="243" spans="1:17" x14ac:dyDescent="0.2">
      <c r="A243" t="s">
        <v>136</v>
      </c>
      <c r="B243">
        <v>195.76400000000001</v>
      </c>
      <c r="C243">
        <f t="shared" si="84"/>
        <v>59.23599999999999</v>
      </c>
      <c r="D243">
        <v>200.173</v>
      </c>
      <c r="E243">
        <f t="shared" si="85"/>
        <v>54.826999999999998</v>
      </c>
      <c r="F243">
        <f t="shared" si="86"/>
        <v>4.4089999999999918</v>
      </c>
      <c r="H243">
        <v>109.267</v>
      </c>
      <c r="I243">
        <f t="shared" si="87"/>
        <v>145.733</v>
      </c>
      <c r="J243">
        <v>218.5</v>
      </c>
      <c r="K243">
        <f t="shared" si="88"/>
        <v>36.5</v>
      </c>
      <c r="L243">
        <f t="shared" si="89"/>
        <v>109.233</v>
      </c>
      <c r="N243" s="2">
        <f t="shared" si="90"/>
        <v>4.0363260186939767E-2</v>
      </c>
    </row>
    <row r="244" spans="1:17" x14ac:dyDescent="0.2">
      <c r="A244" t="s">
        <v>137</v>
      </c>
      <c r="B244">
        <v>154.24799999999999</v>
      </c>
      <c r="C244">
        <f t="shared" si="84"/>
        <v>100.75200000000001</v>
      </c>
      <c r="D244">
        <v>202</v>
      </c>
      <c r="E244">
        <f t="shared" si="85"/>
        <v>53</v>
      </c>
      <c r="F244">
        <f t="shared" si="86"/>
        <v>47.75200000000001</v>
      </c>
      <c r="H244">
        <v>163.87</v>
      </c>
      <c r="I244">
        <f t="shared" si="87"/>
        <v>91.13</v>
      </c>
      <c r="J244">
        <v>221.27199999999999</v>
      </c>
      <c r="K244">
        <f t="shared" si="88"/>
        <v>33.728000000000009</v>
      </c>
      <c r="L244">
        <f t="shared" si="89"/>
        <v>57.401999999999987</v>
      </c>
      <c r="N244" s="2">
        <f t="shared" si="90"/>
        <v>0.83188739068325179</v>
      </c>
    </row>
    <row r="245" spans="1:17" x14ac:dyDescent="0.2">
      <c r="A245" t="s">
        <v>138</v>
      </c>
      <c r="B245">
        <v>201.13300000000001</v>
      </c>
      <c r="C245">
        <f t="shared" si="84"/>
        <v>53.86699999999999</v>
      </c>
      <c r="D245">
        <v>203.916</v>
      </c>
      <c r="E245">
        <f t="shared" si="85"/>
        <v>51.084000000000003</v>
      </c>
      <c r="F245">
        <f t="shared" si="86"/>
        <v>2.782999999999987</v>
      </c>
      <c r="H245">
        <v>122.65300000000001</v>
      </c>
      <c r="I245">
        <f t="shared" si="87"/>
        <v>132.34699999999998</v>
      </c>
      <c r="J245">
        <v>222.80699999999999</v>
      </c>
      <c r="K245">
        <f t="shared" si="88"/>
        <v>32.193000000000012</v>
      </c>
      <c r="L245">
        <f t="shared" si="89"/>
        <v>100.15399999999997</v>
      </c>
      <c r="N245" s="2">
        <f t="shared" si="90"/>
        <v>2.7787207700141661E-2</v>
      </c>
    </row>
    <row r="246" spans="1:17" x14ac:dyDescent="0.2">
      <c r="A246" t="s">
        <v>139</v>
      </c>
      <c r="B246">
        <v>179.53299999999999</v>
      </c>
      <c r="C246">
        <f t="shared" si="84"/>
        <v>75.467000000000013</v>
      </c>
      <c r="D246">
        <v>213.011</v>
      </c>
      <c r="E246">
        <f t="shared" si="85"/>
        <v>41.989000000000004</v>
      </c>
      <c r="F246">
        <f t="shared" si="86"/>
        <v>33.478000000000009</v>
      </c>
      <c r="H246">
        <v>138.93700000000001</v>
      </c>
      <c r="I246">
        <f t="shared" si="87"/>
        <v>116.06299999999999</v>
      </c>
      <c r="J246">
        <v>223.92599999999999</v>
      </c>
      <c r="K246">
        <f t="shared" si="88"/>
        <v>31.074000000000012</v>
      </c>
      <c r="L246">
        <f t="shared" si="89"/>
        <v>84.988999999999976</v>
      </c>
      <c r="N246" s="2">
        <f t="shared" si="90"/>
        <v>0.39390980009177679</v>
      </c>
    </row>
    <row r="247" spans="1:17" x14ac:dyDescent="0.2">
      <c r="A247" t="s">
        <v>140</v>
      </c>
      <c r="B247">
        <v>207.887</v>
      </c>
      <c r="C247">
        <f t="shared" si="84"/>
        <v>47.113</v>
      </c>
      <c r="D247">
        <v>214.55199999999999</v>
      </c>
      <c r="E247">
        <f t="shared" si="85"/>
        <v>40.448000000000008</v>
      </c>
      <c r="F247">
        <f t="shared" si="86"/>
        <v>6.664999999999992</v>
      </c>
      <c r="H247">
        <v>130.41300000000001</v>
      </c>
      <c r="I247">
        <f t="shared" si="87"/>
        <v>124.58699999999999</v>
      </c>
      <c r="J247">
        <v>221.328</v>
      </c>
      <c r="K247">
        <f t="shared" si="88"/>
        <v>33.671999999999997</v>
      </c>
      <c r="L247">
        <f t="shared" si="89"/>
        <v>90.914999999999992</v>
      </c>
      <c r="N247" s="2">
        <f t="shared" si="90"/>
        <v>7.3310234834735657E-2</v>
      </c>
    </row>
    <row r="248" spans="1:17" s="1" customFormat="1" x14ac:dyDescent="0.2">
      <c r="A248" t="s">
        <v>141</v>
      </c>
      <c r="B248">
        <v>151.518</v>
      </c>
      <c r="C248">
        <f t="shared" si="84"/>
        <v>103.482</v>
      </c>
      <c r="D248">
        <v>214.4</v>
      </c>
      <c r="E248">
        <f>255-D248</f>
        <v>40.599999999999994</v>
      </c>
      <c r="F248">
        <f t="shared" si="86"/>
        <v>62.882000000000005</v>
      </c>
      <c r="G248"/>
      <c r="H248">
        <v>147.447</v>
      </c>
      <c r="I248">
        <f t="shared" si="87"/>
        <v>107.553</v>
      </c>
      <c r="J248">
        <v>221.62200000000001</v>
      </c>
      <c r="K248">
        <f t="shared" si="88"/>
        <v>33.377999999999986</v>
      </c>
      <c r="L248">
        <f t="shared" si="89"/>
        <v>74.175000000000011</v>
      </c>
      <c r="M248"/>
      <c r="N248" s="2">
        <f>F248/L248</f>
        <v>0.84775193798449611</v>
      </c>
      <c r="O248"/>
      <c r="P248"/>
      <c r="Q248"/>
    </row>
    <row r="250" spans="1:17" x14ac:dyDescent="0.2">
      <c r="A250" s="1" t="s">
        <v>160</v>
      </c>
      <c r="B250" s="1" t="s">
        <v>1</v>
      </c>
      <c r="C250" s="1" t="s">
        <v>6</v>
      </c>
      <c r="D250" s="1" t="s">
        <v>117</v>
      </c>
      <c r="E250" s="1" t="s">
        <v>118</v>
      </c>
      <c r="F250" s="1" t="s">
        <v>120</v>
      </c>
      <c r="G250" s="1"/>
      <c r="H250" s="1" t="s">
        <v>7</v>
      </c>
      <c r="I250" s="1" t="s">
        <v>121</v>
      </c>
      <c r="J250" s="1" t="s">
        <v>3</v>
      </c>
      <c r="K250" s="1" t="s">
        <v>122</v>
      </c>
      <c r="L250" s="1" t="s">
        <v>123</v>
      </c>
      <c r="M250" s="1"/>
      <c r="N250" s="1" t="s">
        <v>14</v>
      </c>
      <c r="O250" s="1"/>
      <c r="P250" s="13" t="s">
        <v>161</v>
      </c>
      <c r="Q250" s="1"/>
    </row>
    <row r="251" spans="1:17" x14ac:dyDescent="0.2">
      <c r="A251" t="s">
        <v>97</v>
      </c>
      <c r="B251">
        <v>221.18799999999999</v>
      </c>
      <c r="C251">
        <f>255-B251</f>
        <v>33.812000000000012</v>
      </c>
      <c r="D251">
        <v>225.32300000000001</v>
      </c>
      <c r="E251">
        <f>255-D251</f>
        <v>29.676999999999992</v>
      </c>
      <c r="F251">
        <f>C251-E251</f>
        <v>4.1350000000000193</v>
      </c>
      <c r="H251">
        <v>195.80600000000001</v>
      </c>
      <c r="I251">
        <f>255-H251</f>
        <v>59.193999999999988</v>
      </c>
      <c r="J251">
        <v>240.55699999999999</v>
      </c>
      <c r="K251">
        <f>255-J251</f>
        <v>14.443000000000012</v>
      </c>
      <c r="L251">
        <f>I251-K251</f>
        <v>44.750999999999976</v>
      </c>
      <c r="N251" s="2">
        <f>F251/L251</f>
        <v>9.2400169828607659E-2</v>
      </c>
      <c r="O251" t="s">
        <v>146</v>
      </c>
      <c r="P251" s="14">
        <f>N252-N251</f>
        <v>0.95041601012183952</v>
      </c>
    </row>
    <row r="252" spans="1:17" x14ac:dyDescent="0.2">
      <c r="A252" t="s">
        <v>99</v>
      </c>
      <c r="B252">
        <v>189.261</v>
      </c>
      <c r="C252">
        <f t="shared" ref="C252:C263" si="91">255-B252</f>
        <v>65.739000000000004</v>
      </c>
      <c r="D252">
        <v>226.72</v>
      </c>
      <c r="E252">
        <f t="shared" ref="E252:E263" si="92">255-D252</f>
        <v>28.28</v>
      </c>
      <c r="F252">
        <f t="shared" ref="F252:F263" si="93">C252-E252</f>
        <v>37.459000000000003</v>
      </c>
      <c r="H252">
        <v>206.72800000000001</v>
      </c>
      <c r="I252">
        <f t="shared" ref="I252:I263" si="94">255-H252</f>
        <v>48.271999999999991</v>
      </c>
      <c r="J252">
        <v>242.649</v>
      </c>
      <c r="K252">
        <f t="shared" ref="K252:K263" si="95">255-J252</f>
        <v>12.350999999999999</v>
      </c>
      <c r="L252">
        <f t="shared" ref="L252:L263" si="96">I252-K252</f>
        <v>35.920999999999992</v>
      </c>
      <c r="N252" s="2">
        <f t="shared" ref="N252:N263" si="97">F252/L252</f>
        <v>1.0428161799504472</v>
      </c>
      <c r="O252" t="s">
        <v>147</v>
      </c>
      <c r="P252" s="14">
        <f>N254-N253</f>
        <v>0.58822326222932353</v>
      </c>
    </row>
    <row r="253" spans="1:17" x14ac:dyDescent="0.2">
      <c r="A253" t="s">
        <v>101</v>
      </c>
      <c r="B253">
        <v>224.26300000000001</v>
      </c>
      <c r="C253">
        <f t="shared" si="91"/>
        <v>30.736999999999995</v>
      </c>
      <c r="D253">
        <v>228.19399999999999</v>
      </c>
      <c r="E253">
        <f t="shared" si="92"/>
        <v>26.806000000000012</v>
      </c>
      <c r="F253">
        <f t="shared" si="93"/>
        <v>3.9309999999999832</v>
      </c>
      <c r="H253">
        <v>202.62899999999999</v>
      </c>
      <c r="I253">
        <f t="shared" si="94"/>
        <v>52.371000000000009</v>
      </c>
      <c r="J253">
        <v>243.35900000000001</v>
      </c>
      <c r="K253">
        <f t="shared" si="95"/>
        <v>11.640999999999991</v>
      </c>
      <c r="L253">
        <f t="shared" si="96"/>
        <v>40.730000000000018</v>
      </c>
      <c r="N253" s="2">
        <f t="shared" si="97"/>
        <v>9.6513626319665632E-2</v>
      </c>
      <c r="O253" t="s">
        <v>148</v>
      </c>
      <c r="P253" s="14">
        <f>N256-N255</f>
        <v>1.0008057026734287</v>
      </c>
    </row>
    <row r="254" spans="1:17" x14ac:dyDescent="0.2">
      <c r="A254" t="s">
        <v>103</v>
      </c>
      <c r="B254">
        <v>201.511</v>
      </c>
      <c r="C254">
        <f t="shared" si="91"/>
        <v>53.489000000000004</v>
      </c>
      <c r="D254">
        <v>224.79</v>
      </c>
      <c r="E254">
        <f t="shared" si="92"/>
        <v>30.210000000000008</v>
      </c>
      <c r="F254">
        <f t="shared" si="93"/>
        <v>23.278999999999996</v>
      </c>
      <c r="H254">
        <v>209.041</v>
      </c>
      <c r="I254">
        <f t="shared" si="94"/>
        <v>45.959000000000003</v>
      </c>
      <c r="J254">
        <v>243.03800000000001</v>
      </c>
      <c r="K254">
        <f t="shared" si="95"/>
        <v>11.961999999999989</v>
      </c>
      <c r="L254">
        <f t="shared" si="96"/>
        <v>33.997000000000014</v>
      </c>
      <c r="N254" s="2">
        <f t="shared" si="97"/>
        <v>0.68473688854898918</v>
      </c>
      <c r="O254" t="s">
        <v>149</v>
      </c>
      <c r="P254" s="14">
        <f>N258-N257</f>
        <v>0.68312316805163353</v>
      </c>
    </row>
    <row r="255" spans="1:17" x14ac:dyDescent="0.2">
      <c r="A255" t="s">
        <v>105</v>
      </c>
      <c r="B255">
        <v>222.20400000000001</v>
      </c>
      <c r="C255">
        <f t="shared" si="91"/>
        <v>32.795999999999992</v>
      </c>
      <c r="D255">
        <v>225.64</v>
      </c>
      <c r="E255">
        <f t="shared" si="92"/>
        <v>29.360000000000014</v>
      </c>
      <c r="F255">
        <f t="shared" si="93"/>
        <v>3.4359999999999786</v>
      </c>
      <c r="H255">
        <v>177.63</v>
      </c>
      <c r="I255">
        <f t="shared" si="94"/>
        <v>77.37</v>
      </c>
      <c r="J255">
        <v>239.12899999999999</v>
      </c>
      <c r="K255">
        <f t="shared" si="95"/>
        <v>15.871000000000009</v>
      </c>
      <c r="L255">
        <f t="shared" si="96"/>
        <v>61.498999999999995</v>
      </c>
      <c r="N255" s="2">
        <f t="shared" si="97"/>
        <v>5.5870827167921085E-2</v>
      </c>
      <c r="O255" t="s">
        <v>150</v>
      </c>
      <c r="P255" s="14">
        <f>N260-N259</f>
        <v>0.64036442490395906</v>
      </c>
    </row>
    <row r="256" spans="1:17" x14ac:dyDescent="0.2">
      <c r="A256" t="s">
        <v>107</v>
      </c>
      <c r="B256">
        <v>158.52199999999999</v>
      </c>
      <c r="C256">
        <f t="shared" si="91"/>
        <v>96.478000000000009</v>
      </c>
      <c r="D256">
        <v>225.65899999999999</v>
      </c>
      <c r="E256">
        <f t="shared" si="92"/>
        <v>29.341000000000008</v>
      </c>
      <c r="F256">
        <f t="shared" si="93"/>
        <v>67.137</v>
      </c>
      <c r="H256">
        <v>179.67400000000001</v>
      </c>
      <c r="I256">
        <f t="shared" si="94"/>
        <v>75.325999999999993</v>
      </c>
      <c r="J256">
        <v>243.21</v>
      </c>
      <c r="K256">
        <f t="shared" si="95"/>
        <v>11.789999999999992</v>
      </c>
      <c r="L256">
        <f t="shared" si="96"/>
        <v>63.536000000000001</v>
      </c>
      <c r="N256" s="2">
        <f t="shared" si="97"/>
        <v>1.0566765298413499</v>
      </c>
      <c r="O256" t="s">
        <v>151</v>
      </c>
      <c r="P256" s="14">
        <f>N262-N261</f>
        <v>0.89648242257749056</v>
      </c>
    </row>
    <row r="257" spans="1:14" x14ac:dyDescent="0.2">
      <c r="A257" t="s">
        <v>109</v>
      </c>
      <c r="B257">
        <v>222.124</v>
      </c>
      <c r="C257">
        <f t="shared" si="91"/>
        <v>32.876000000000005</v>
      </c>
      <c r="D257">
        <v>224.48400000000001</v>
      </c>
      <c r="E257">
        <f t="shared" si="92"/>
        <v>30.515999999999991</v>
      </c>
      <c r="F257">
        <f t="shared" si="93"/>
        <v>2.3600000000000136</v>
      </c>
      <c r="H257">
        <v>195.85400000000001</v>
      </c>
      <c r="I257">
        <f t="shared" si="94"/>
        <v>59.145999999999987</v>
      </c>
      <c r="J257">
        <v>241.709</v>
      </c>
      <c r="K257">
        <f t="shared" si="95"/>
        <v>13.290999999999997</v>
      </c>
      <c r="L257">
        <f t="shared" si="96"/>
        <v>45.85499999999999</v>
      </c>
      <c r="N257" s="2">
        <f t="shared" si="97"/>
        <v>5.1466579435176407E-2</v>
      </c>
    </row>
    <row r="258" spans="1:14" x14ac:dyDescent="0.2">
      <c r="A258" t="s">
        <v>111</v>
      </c>
      <c r="B258">
        <v>191.15100000000001</v>
      </c>
      <c r="C258">
        <f t="shared" si="91"/>
        <v>63.84899999999999</v>
      </c>
      <c r="D258">
        <v>224.98400000000001</v>
      </c>
      <c r="E258">
        <f t="shared" si="92"/>
        <v>30.015999999999991</v>
      </c>
      <c r="F258">
        <f t="shared" si="93"/>
        <v>33.832999999999998</v>
      </c>
      <c r="H258">
        <v>197.59700000000001</v>
      </c>
      <c r="I258">
        <f t="shared" si="94"/>
        <v>57.402999999999992</v>
      </c>
      <c r="J258">
        <v>243.654</v>
      </c>
      <c r="K258">
        <f t="shared" si="95"/>
        <v>11.346000000000004</v>
      </c>
      <c r="L258">
        <f t="shared" si="96"/>
        <v>46.056999999999988</v>
      </c>
      <c r="N258" s="2">
        <f t="shared" si="97"/>
        <v>0.73458974748680994</v>
      </c>
    </row>
    <row r="259" spans="1:14" x14ac:dyDescent="0.2">
      <c r="A259" t="s">
        <v>136</v>
      </c>
      <c r="B259">
        <v>219.98099999999999</v>
      </c>
      <c r="C259">
        <f t="shared" si="91"/>
        <v>35.019000000000005</v>
      </c>
      <c r="D259">
        <v>224.255</v>
      </c>
      <c r="E259">
        <f t="shared" si="92"/>
        <v>30.745000000000005</v>
      </c>
      <c r="F259">
        <f t="shared" si="93"/>
        <v>4.2740000000000009</v>
      </c>
      <c r="H259">
        <v>199.99100000000001</v>
      </c>
      <c r="I259">
        <f t="shared" si="94"/>
        <v>55.008999999999986</v>
      </c>
      <c r="J259">
        <v>242.851</v>
      </c>
      <c r="K259">
        <f t="shared" si="95"/>
        <v>12.149000000000001</v>
      </c>
      <c r="L259">
        <f t="shared" si="96"/>
        <v>42.859999999999985</v>
      </c>
      <c r="N259" s="2">
        <f t="shared" si="97"/>
        <v>9.9720018665422364E-2</v>
      </c>
    </row>
    <row r="260" spans="1:14" x14ac:dyDescent="0.2">
      <c r="A260" t="s">
        <v>137</v>
      </c>
      <c r="B260">
        <v>191.26900000000001</v>
      </c>
      <c r="C260">
        <f t="shared" si="91"/>
        <v>63.730999999999995</v>
      </c>
      <c r="D260">
        <v>225.09899999999999</v>
      </c>
      <c r="E260">
        <f t="shared" si="92"/>
        <v>29.90100000000001</v>
      </c>
      <c r="F260">
        <f t="shared" si="93"/>
        <v>33.829999999999984</v>
      </c>
      <c r="H260">
        <v>197.35400000000001</v>
      </c>
      <c r="I260">
        <f t="shared" si="94"/>
        <v>57.645999999999987</v>
      </c>
      <c r="J260">
        <v>243.065</v>
      </c>
      <c r="K260">
        <f t="shared" si="95"/>
        <v>11.935000000000002</v>
      </c>
      <c r="L260">
        <f t="shared" si="96"/>
        <v>45.710999999999984</v>
      </c>
      <c r="N260" s="2">
        <f t="shared" si="97"/>
        <v>0.74008444356938141</v>
      </c>
    </row>
    <row r="261" spans="1:14" x14ac:dyDescent="0.2">
      <c r="A261" t="s">
        <v>138</v>
      </c>
      <c r="B261">
        <v>224.84700000000001</v>
      </c>
      <c r="C261">
        <f t="shared" si="91"/>
        <v>30.152999999999992</v>
      </c>
      <c r="D261">
        <v>225.702</v>
      </c>
      <c r="E261">
        <f t="shared" si="92"/>
        <v>29.298000000000002</v>
      </c>
      <c r="F261">
        <f t="shared" si="93"/>
        <v>0.85499999999998977</v>
      </c>
      <c r="H261">
        <v>211.77099999999999</v>
      </c>
      <c r="I261">
        <f t="shared" si="94"/>
        <v>43.229000000000013</v>
      </c>
      <c r="J261">
        <v>242.78700000000001</v>
      </c>
      <c r="K261">
        <f t="shared" si="95"/>
        <v>12.212999999999994</v>
      </c>
      <c r="L261">
        <f t="shared" si="96"/>
        <v>31.01600000000002</v>
      </c>
      <c r="N261" s="2">
        <f t="shared" si="97"/>
        <v>2.7566417332989077E-2</v>
      </c>
    </row>
    <row r="262" spans="1:14" x14ac:dyDescent="0.2">
      <c r="A262" t="s">
        <v>139</v>
      </c>
      <c r="B262">
        <v>192.41399999999999</v>
      </c>
      <c r="C262">
        <f t="shared" si="91"/>
        <v>62.586000000000013</v>
      </c>
      <c r="D262">
        <v>225.03200000000001</v>
      </c>
      <c r="E262">
        <f t="shared" si="92"/>
        <v>29.967999999999989</v>
      </c>
      <c r="F262">
        <f t="shared" si="93"/>
        <v>32.618000000000023</v>
      </c>
      <c r="H262">
        <v>207.62299999999999</v>
      </c>
      <c r="I262">
        <f t="shared" si="94"/>
        <v>47.37700000000001</v>
      </c>
      <c r="J262">
        <v>242.922</v>
      </c>
      <c r="K262">
        <f t="shared" si="95"/>
        <v>12.078000000000003</v>
      </c>
      <c r="L262">
        <f t="shared" si="96"/>
        <v>35.299000000000007</v>
      </c>
      <c r="N262" s="2">
        <f t="shared" si="97"/>
        <v>0.92404883991047959</v>
      </c>
    </row>
    <row r="263" spans="1:14" x14ac:dyDescent="0.2">
      <c r="A263" t="s">
        <v>135</v>
      </c>
      <c r="B263">
        <v>131.01300000000001</v>
      </c>
      <c r="C263">
        <f t="shared" si="91"/>
        <v>123.98699999999999</v>
      </c>
      <c r="D263">
        <v>229.22800000000001</v>
      </c>
      <c r="E263">
        <f t="shared" si="92"/>
        <v>25.771999999999991</v>
      </c>
      <c r="F263">
        <f t="shared" si="93"/>
        <v>98.215000000000003</v>
      </c>
      <c r="H263">
        <v>172.90100000000001</v>
      </c>
      <c r="I263">
        <f t="shared" si="94"/>
        <v>82.09899999999999</v>
      </c>
      <c r="J263">
        <v>244.6</v>
      </c>
      <c r="K263">
        <f t="shared" si="95"/>
        <v>10.400000000000006</v>
      </c>
      <c r="L263">
        <f t="shared" si="96"/>
        <v>71.698999999999984</v>
      </c>
      <c r="N263" s="2">
        <f t="shared" si="97"/>
        <v>1.3698238469155779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topLeftCell="A21" workbookViewId="0">
      <selection activeCell="Q21" sqref="Q21"/>
    </sheetView>
  </sheetViews>
  <sheetFormatPr baseColWidth="10" defaultColWidth="8.83203125" defaultRowHeight="16" x14ac:dyDescent="0.2"/>
  <cols>
    <col min="2" max="2" width="17.5" customWidth="1"/>
  </cols>
  <sheetData>
    <row r="2" spans="2:3" x14ac:dyDescent="0.2">
      <c r="B2" t="s">
        <v>42</v>
      </c>
      <c r="C2" t="s">
        <v>13</v>
      </c>
    </row>
    <row r="3" spans="2:3" x14ac:dyDescent="0.2">
      <c r="B3" t="s">
        <v>97</v>
      </c>
      <c r="C3" s="2">
        <v>1.7697524307541897E-2</v>
      </c>
    </row>
    <row r="4" spans="2:3" x14ac:dyDescent="0.2">
      <c r="B4" t="s">
        <v>98</v>
      </c>
      <c r="C4" s="2">
        <v>0.34290814670561465</v>
      </c>
    </row>
    <row r="5" spans="2:3" x14ac:dyDescent="0.2">
      <c r="B5" t="s">
        <v>99</v>
      </c>
      <c r="C5" s="2">
        <v>2.252629814341395</v>
      </c>
    </row>
    <row r="6" spans="2:3" x14ac:dyDescent="0.2">
      <c r="B6" t="s">
        <v>100</v>
      </c>
      <c r="C6" s="2">
        <v>1.3960609911054636</v>
      </c>
    </row>
    <row r="7" spans="2:3" x14ac:dyDescent="0.2">
      <c r="B7" t="s">
        <v>101</v>
      </c>
      <c r="C7" s="2">
        <v>0.13038576145606826</v>
      </c>
    </row>
    <row r="8" spans="2:3" x14ac:dyDescent="0.2">
      <c r="B8" t="s">
        <v>102</v>
      </c>
      <c r="C8" s="2">
        <v>0.2228346456692924</v>
      </c>
    </row>
    <row r="9" spans="2:3" x14ac:dyDescent="0.2">
      <c r="B9" t="s">
        <v>103</v>
      </c>
      <c r="C9" s="2">
        <v>1.4216101694915253</v>
      </c>
    </row>
    <row r="10" spans="2:3" x14ac:dyDescent="0.2">
      <c r="B10" t="s">
        <v>104</v>
      </c>
      <c r="C10" s="2">
        <v>13.888268156424367</v>
      </c>
    </row>
    <row r="11" spans="2:3" x14ac:dyDescent="0.2">
      <c r="B11" t="s">
        <v>105</v>
      </c>
      <c r="C11" s="2">
        <v>0.22529384726508733</v>
      </c>
    </row>
    <row r="12" spans="2:3" x14ac:dyDescent="0.2">
      <c r="B12" t="s">
        <v>106</v>
      </c>
      <c r="C12" s="2">
        <v>0.34420848127554021</v>
      </c>
    </row>
    <row r="13" spans="2:3" x14ac:dyDescent="0.2">
      <c r="B13" t="s">
        <v>107</v>
      </c>
      <c r="C13" s="2">
        <v>1.1442783478306151</v>
      </c>
    </row>
    <row r="14" spans="2:3" x14ac:dyDescent="0.2">
      <c r="B14" t="s">
        <v>108</v>
      </c>
      <c r="C14" s="2">
        <v>0.84109160358038648</v>
      </c>
    </row>
    <row r="15" spans="2:3" x14ac:dyDescent="0.2">
      <c r="B15" t="s">
        <v>109</v>
      </c>
      <c r="C15" s="2">
        <v>7.4948472924822671E-4</v>
      </c>
    </row>
    <row r="16" spans="2:3" x14ac:dyDescent="0.2">
      <c r="B16" t="s">
        <v>110</v>
      </c>
      <c r="C16" s="2">
        <v>0.10737937559129533</v>
      </c>
    </row>
    <row r="17" spans="2:3" x14ac:dyDescent="0.2">
      <c r="B17" t="s">
        <v>111</v>
      </c>
      <c r="C17" s="2">
        <v>0.38250950570342213</v>
      </c>
    </row>
    <row r="18" spans="2:3" x14ac:dyDescent="0.2">
      <c r="B18" t="s">
        <v>112</v>
      </c>
      <c r="C18" s="2">
        <v>0.56027293404094058</v>
      </c>
    </row>
    <row r="19" spans="2:3" x14ac:dyDescent="0.2">
      <c r="B19" t="s">
        <v>113</v>
      </c>
      <c r="C19" s="2">
        <v>0.64281549354435552</v>
      </c>
    </row>
    <row r="20" spans="2:3" x14ac:dyDescent="0.2">
      <c r="B20" t="s">
        <v>114</v>
      </c>
      <c r="C20" s="2">
        <v>0.23414942452265361</v>
      </c>
    </row>
    <row r="21" spans="2:3" x14ac:dyDescent="0.2">
      <c r="B21" t="s">
        <v>115</v>
      </c>
      <c r="C21" s="2">
        <v>3.6438141639115975</v>
      </c>
    </row>
    <row r="22" spans="2:3" x14ac:dyDescent="0.2">
      <c r="B22" t="s">
        <v>116</v>
      </c>
      <c r="C22" s="2">
        <v>3.0686219214138069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5:V115"/>
  <sheetViews>
    <sheetView topLeftCell="A94" zoomScale="193" zoomScaleNormal="193" workbookViewId="0">
      <selection activeCell="X131" sqref="X131"/>
    </sheetView>
  </sheetViews>
  <sheetFormatPr baseColWidth="10" defaultColWidth="11" defaultRowHeight="16" x14ac:dyDescent="0.2"/>
  <cols>
    <col min="4" max="4" width="14" customWidth="1"/>
    <col min="7" max="7" width="14" customWidth="1"/>
    <col min="10" max="10" width="14" customWidth="1"/>
    <col min="13" max="13" width="14" customWidth="1"/>
    <col min="16" max="16" width="14" customWidth="1"/>
    <col min="19" max="19" width="14" customWidth="1"/>
  </cols>
  <sheetData>
    <row r="5" spans="3:7" x14ac:dyDescent="0.2">
      <c r="C5" s="1" t="s">
        <v>42</v>
      </c>
      <c r="D5" s="1" t="s">
        <v>14</v>
      </c>
    </row>
    <row r="6" spans="3:7" x14ac:dyDescent="0.2">
      <c r="C6" t="s">
        <v>43</v>
      </c>
      <c r="D6" s="2">
        <v>1.7697524307541897E-2</v>
      </c>
    </row>
    <row r="7" spans="3:7" x14ac:dyDescent="0.2">
      <c r="C7" t="s">
        <v>44</v>
      </c>
      <c r="D7" s="2">
        <v>0.34290814670561465</v>
      </c>
    </row>
    <row r="8" spans="3:7" x14ac:dyDescent="0.2">
      <c r="C8" t="s">
        <v>45</v>
      </c>
      <c r="D8" s="2">
        <v>2.252629814341395</v>
      </c>
      <c r="G8" t="s">
        <v>15</v>
      </c>
    </row>
    <row r="9" spans="3:7" x14ac:dyDescent="0.2">
      <c r="C9" t="s">
        <v>46</v>
      </c>
      <c r="D9" s="2">
        <v>1.3960609911054636</v>
      </c>
      <c r="G9" t="s">
        <v>16</v>
      </c>
    </row>
    <row r="10" spans="3:7" x14ac:dyDescent="0.2">
      <c r="C10" t="s">
        <v>47</v>
      </c>
      <c r="D10" s="2">
        <v>0.13038576145606826</v>
      </c>
      <c r="G10" t="s">
        <v>17</v>
      </c>
    </row>
    <row r="11" spans="3:7" x14ac:dyDescent="0.2">
      <c r="C11" t="s">
        <v>48</v>
      </c>
      <c r="D11" s="2">
        <v>0.2228346456692924</v>
      </c>
      <c r="G11" t="s">
        <v>18</v>
      </c>
    </row>
    <row r="12" spans="3:7" x14ac:dyDescent="0.2">
      <c r="C12" t="s">
        <v>49</v>
      </c>
      <c r="D12" s="2">
        <v>1.4216101694915253</v>
      </c>
      <c r="G12" t="s">
        <v>40</v>
      </c>
    </row>
    <row r="13" spans="3:7" x14ac:dyDescent="0.2">
      <c r="C13" t="s">
        <v>50</v>
      </c>
      <c r="D13" s="2">
        <v>13.888268156424367</v>
      </c>
      <c r="G13" t="s">
        <v>19</v>
      </c>
    </row>
    <row r="14" spans="3:7" x14ac:dyDescent="0.2">
      <c r="C14" t="s">
        <v>51</v>
      </c>
      <c r="D14" s="2">
        <v>0.22529384726508733</v>
      </c>
      <c r="G14" t="s">
        <v>20</v>
      </c>
    </row>
    <row r="15" spans="3:7" x14ac:dyDescent="0.2">
      <c r="C15" t="s">
        <v>52</v>
      </c>
      <c r="D15" s="2">
        <v>0.34420848127554021</v>
      </c>
      <c r="G15" t="s">
        <v>21</v>
      </c>
    </row>
    <row r="16" spans="3:7" x14ac:dyDescent="0.2">
      <c r="C16" t="s">
        <v>53</v>
      </c>
      <c r="D16" s="2">
        <v>1.1442783478306151</v>
      </c>
      <c r="G16" t="s">
        <v>22</v>
      </c>
    </row>
    <row r="17" spans="3:7" x14ac:dyDescent="0.2">
      <c r="C17" t="s">
        <v>54</v>
      </c>
      <c r="D17" s="2">
        <v>0.84109160358038648</v>
      </c>
      <c r="G17" t="s">
        <v>23</v>
      </c>
    </row>
    <row r="18" spans="3:7" x14ac:dyDescent="0.2">
      <c r="C18" t="s">
        <v>55</v>
      </c>
      <c r="D18" s="2">
        <v>7.4948472924822671E-4</v>
      </c>
      <c r="G18" t="s">
        <v>24</v>
      </c>
    </row>
    <row r="19" spans="3:7" x14ac:dyDescent="0.2">
      <c r="C19" t="s">
        <v>56</v>
      </c>
      <c r="D19" s="2">
        <v>0.10737937559129533</v>
      </c>
      <c r="G19" t="s">
        <v>25</v>
      </c>
    </row>
    <row r="20" spans="3:7" x14ac:dyDescent="0.2">
      <c r="C20" t="s">
        <v>57</v>
      </c>
      <c r="D20" s="2">
        <v>0.38250950570342213</v>
      </c>
      <c r="G20" t="s">
        <v>26</v>
      </c>
    </row>
    <row r="21" spans="3:7" x14ac:dyDescent="0.2">
      <c r="C21" t="s">
        <v>58</v>
      </c>
      <c r="D21" s="2">
        <v>0.56027293404094058</v>
      </c>
      <c r="G21" t="s">
        <v>27</v>
      </c>
    </row>
    <row r="22" spans="3:7" x14ac:dyDescent="0.2">
      <c r="C22" t="s">
        <v>59</v>
      </c>
      <c r="D22" s="2">
        <v>0.64281549354435552</v>
      </c>
      <c r="G22" t="s">
        <v>28</v>
      </c>
    </row>
    <row r="23" spans="3:7" x14ac:dyDescent="0.2">
      <c r="C23" t="s">
        <v>60</v>
      </c>
      <c r="D23" s="2">
        <v>0.23414942452265361</v>
      </c>
      <c r="G23" t="s">
        <v>29</v>
      </c>
    </row>
    <row r="24" spans="3:7" x14ac:dyDescent="0.2">
      <c r="C24" t="s">
        <v>61</v>
      </c>
      <c r="D24" s="2">
        <v>3.6438141639115975</v>
      </c>
      <c r="G24" t="s">
        <v>30</v>
      </c>
    </row>
    <row r="25" spans="3:7" x14ac:dyDescent="0.2">
      <c r="C25" t="s">
        <v>62</v>
      </c>
      <c r="D25" s="2">
        <v>3.0686219214138069</v>
      </c>
      <c r="G25" t="s">
        <v>31</v>
      </c>
    </row>
    <row r="26" spans="3:7" x14ac:dyDescent="0.2">
      <c r="C26" t="s">
        <v>63</v>
      </c>
      <c r="D26" s="2">
        <v>0.13650733032058215</v>
      </c>
      <c r="G26" t="s">
        <v>32</v>
      </c>
    </row>
    <row r="27" spans="3:7" x14ac:dyDescent="0.2">
      <c r="C27" t="s">
        <v>64</v>
      </c>
      <c r="D27" s="2">
        <v>0.23431850668460419</v>
      </c>
      <c r="G27" t="s">
        <v>33</v>
      </c>
    </row>
    <row r="28" spans="3:7" x14ac:dyDescent="0.2">
      <c r="C28" t="s">
        <v>65</v>
      </c>
      <c r="D28" s="2">
        <v>0.10114068441064625</v>
      </c>
      <c r="G28" t="s">
        <v>34</v>
      </c>
    </row>
    <row r="29" spans="3:7" x14ac:dyDescent="0.2">
      <c r="C29" t="s">
        <v>66</v>
      </c>
      <c r="D29" s="2">
        <v>1.3851839020728687</v>
      </c>
      <c r="G29" t="s">
        <v>35</v>
      </c>
    </row>
    <row r="30" spans="3:7" x14ac:dyDescent="0.2">
      <c r="C30" t="s">
        <v>67</v>
      </c>
      <c r="D30" s="2">
        <v>1.0887038750128482</v>
      </c>
      <c r="G30" t="s">
        <v>36</v>
      </c>
    </row>
    <row r="31" spans="3:7" x14ac:dyDescent="0.2">
      <c r="C31" t="s">
        <v>68</v>
      </c>
      <c r="D31" s="2">
        <v>0.17868536688135792</v>
      </c>
      <c r="G31" t="s">
        <v>37</v>
      </c>
    </row>
    <row r="32" spans="3:7" x14ac:dyDescent="0.2">
      <c r="C32" t="s">
        <v>69</v>
      </c>
      <c r="D32" s="2">
        <v>0.13302862197976409</v>
      </c>
      <c r="G32" t="s">
        <v>38</v>
      </c>
    </row>
    <row r="33" spans="3:7" x14ac:dyDescent="0.2">
      <c r="C33" t="s">
        <v>70</v>
      </c>
      <c r="D33" s="2">
        <v>0.79623510387738572</v>
      </c>
      <c r="G33" t="s">
        <v>39</v>
      </c>
    </row>
    <row r="34" spans="3:7" x14ac:dyDescent="0.2">
      <c r="C34" t="s">
        <v>71</v>
      </c>
      <c r="D34" s="2">
        <v>0.35820558042780259</v>
      </c>
    </row>
    <row r="35" spans="3:7" x14ac:dyDescent="0.2">
      <c r="C35" s="5" t="s">
        <v>72</v>
      </c>
      <c r="D35" s="2">
        <v>0.1376464926682896</v>
      </c>
    </row>
    <row r="36" spans="3:7" x14ac:dyDescent="0.2">
      <c r="C36" s="5" t="s">
        <v>73</v>
      </c>
      <c r="D36" s="2">
        <v>0.10880919496436017</v>
      </c>
    </row>
    <row r="37" spans="3:7" x14ac:dyDescent="0.2">
      <c r="C37" s="5" t="s">
        <v>74</v>
      </c>
      <c r="D37" s="2">
        <v>0.88165742076535292</v>
      </c>
    </row>
    <row r="38" spans="3:7" x14ac:dyDescent="0.2">
      <c r="C38" s="5" t="s">
        <v>75</v>
      </c>
      <c r="D38" s="2">
        <v>0.90199320780213765</v>
      </c>
    </row>
    <row r="39" spans="3:7" x14ac:dyDescent="0.2">
      <c r="C39" s="5" t="s">
        <v>76</v>
      </c>
      <c r="D39" s="2">
        <v>1.1712711568384615</v>
      </c>
    </row>
    <row r="40" spans="3:7" x14ac:dyDescent="0.2">
      <c r="C40" s="5" t="s">
        <v>77</v>
      </c>
      <c r="D40" s="2">
        <v>0.12161798719810642</v>
      </c>
    </row>
    <row r="41" spans="3:7" x14ac:dyDescent="0.2">
      <c r="C41" s="5" t="s">
        <v>78</v>
      </c>
      <c r="D41" s="2">
        <v>0.11826900705736416</v>
      </c>
    </row>
    <row r="42" spans="3:7" x14ac:dyDescent="0.2">
      <c r="C42" s="5" t="s">
        <v>79</v>
      </c>
      <c r="D42" s="2">
        <v>0.58870783956244266</v>
      </c>
    </row>
    <row r="43" spans="3:7" x14ac:dyDescent="0.2">
      <c r="C43" s="5" t="s">
        <v>80</v>
      </c>
      <c r="D43" s="2">
        <v>0.47540491901619597</v>
      </c>
    </row>
    <row r="44" spans="3:7" x14ac:dyDescent="0.2">
      <c r="C44" t="s">
        <v>15</v>
      </c>
      <c r="D44" s="2">
        <v>0.31140145301148364</v>
      </c>
    </row>
    <row r="45" spans="3:7" x14ac:dyDescent="0.2">
      <c r="C45" t="s">
        <v>16</v>
      </c>
      <c r="D45" s="2">
        <v>0.15319362950544796</v>
      </c>
    </row>
    <row r="46" spans="3:7" x14ac:dyDescent="0.2">
      <c r="C46" t="s">
        <v>17</v>
      </c>
      <c r="D46" s="2">
        <v>0.62614902130420658</v>
      </c>
    </row>
    <row r="47" spans="3:7" x14ac:dyDescent="0.2">
      <c r="C47" t="s">
        <v>18</v>
      </c>
      <c r="D47" s="2">
        <v>0.46561668145519097</v>
      </c>
    </row>
    <row r="48" spans="3:7" x14ac:dyDescent="0.2">
      <c r="C48" t="s">
        <v>40</v>
      </c>
      <c r="D48" s="2">
        <v>1.0482902713201103</v>
      </c>
    </row>
    <row r="49" spans="3:4" x14ac:dyDescent="0.2">
      <c r="C49" t="s">
        <v>19</v>
      </c>
      <c r="D49" s="2">
        <v>0.12969058591178467</v>
      </c>
    </row>
    <row r="50" spans="3:4" x14ac:dyDescent="0.2">
      <c r="C50" t="s">
        <v>20</v>
      </c>
      <c r="D50" s="2">
        <v>0.26792486906266927</v>
      </c>
    </row>
    <row r="51" spans="3:4" x14ac:dyDescent="0.2">
      <c r="C51" t="s">
        <v>21</v>
      </c>
      <c r="D51" s="2">
        <v>0.32675930076199</v>
      </c>
    </row>
    <row r="52" spans="3:4" x14ac:dyDescent="0.2">
      <c r="C52" t="s">
        <v>22</v>
      </c>
      <c r="D52" s="2">
        <v>0.39823163486405289</v>
      </c>
    </row>
    <row r="53" spans="3:4" x14ac:dyDescent="0.2">
      <c r="C53" t="s">
        <v>23</v>
      </c>
      <c r="D53" s="2">
        <v>2.2550207756232721E-2</v>
      </c>
    </row>
    <row r="54" spans="3:4" x14ac:dyDescent="0.2">
      <c r="C54" t="s">
        <v>24</v>
      </c>
      <c r="D54" s="2">
        <v>6.6434363500172391E-3</v>
      </c>
    </row>
    <row r="55" spans="3:4" x14ac:dyDescent="0.2">
      <c r="C55" t="s">
        <v>25</v>
      </c>
      <c r="D55" s="2">
        <v>0.38804816965950872</v>
      </c>
    </row>
    <row r="56" spans="3:4" x14ac:dyDescent="0.2">
      <c r="C56" t="s">
        <v>26</v>
      </c>
      <c r="D56" s="2">
        <v>0.29437510833766722</v>
      </c>
    </row>
    <row r="57" spans="3:4" x14ac:dyDescent="0.2">
      <c r="C57" t="s">
        <v>27</v>
      </c>
      <c r="D57" s="2">
        <v>9.711444285391517E-2</v>
      </c>
    </row>
    <row r="58" spans="3:4" x14ac:dyDescent="0.2">
      <c r="C58" t="s">
        <v>28</v>
      </c>
      <c r="D58" s="2">
        <v>0.1202988369131506</v>
      </c>
    </row>
    <row r="59" spans="3:4" x14ac:dyDescent="0.2">
      <c r="C59" t="s">
        <v>29</v>
      </c>
      <c r="D59" s="2">
        <v>0.19778243193298051</v>
      </c>
    </row>
    <row r="60" spans="3:4" x14ac:dyDescent="0.2">
      <c r="C60" t="s">
        <v>30</v>
      </c>
      <c r="D60" s="2">
        <v>0.12109633119774763</v>
      </c>
    </row>
    <row r="61" spans="3:4" x14ac:dyDescent="0.2">
      <c r="C61" t="s">
        <v>31</v>
      </c>
      <c r="D61" s="2">
        <v>3.3421114924842982E-2</v>
      </c>
    </row>
    <row r="62" spans="3:4" x14ac:dyDescent="0.2">
      <c r="C62" t="s">
        <v>32</v>
      </c>
      <c r="D62" s="2">
        <v>5.7685846283074035E-2</v>
      </c>
    </row>
    <row r="63" spans="3:4" x14ac:dyDescent="0.2">
      <c r="C63" t="s">
        <v>33</v>
      </c>
      <c r="D63" s="2">
        <v>0.37865837865837859</v>
      </c>
    </row>
    <row r="64" spans="3:4" x14ac:dyDescent="0.2">
      <c r="C64" t="s">
        <v>34</v>
      </c>
      <c r="D64" s="2">
        <v>0.3321198701469294</v>
      </c>
    </row>
    <row r="65" spans="3:4" x14ac:dyDescent="0.2">
      <c r="C65" t="s">
        <v>35</v>
      </c>
      <c r="D65" s="2">
        <v>0.13233098192677989</v>
      </c>
    </row>
    <row r="66" spans="3:4" x14ac:dyDescent="0.2">
      <c r="C66" t="s">
        <v>36</v>
      </c>
      <c r="D66" s="2">
        <v>0.10097795715616249</v>
      </c>
    </row>
    <row r="67" spans="3:4" x14ac:dyDescent="0.2">
      <c r="C67" t="s">
        <v>37</v>
      </c>
      <c r="D67" s="2">
        <v>0.28172848648530935</v>
      </c>
    </row>
    <row r="68" spans="3:4" x14ac:dyDescent="0.2">
      <c r="C68" t="s">
        <v>38</v>
      </c>
      <c r="D68" s="2">
        <v>0.22635674136619144</v>
      </c>
    </row>
    <row r="69" spans="3:4" x14ac:dyDescent="0.2">
      <c r="C69" t="s">
        <v>39</v>
      </c>
      <c r="D69" s="2">
        <v>5.686727959839806E-2</v>
      </c>
    </row>
    <row r="70" spans="3:4" x14ac:dyDescent="0.2">
      <c r="C70" t="s">
        <v>81</v>
      </c>
      <c r="D70" s="2">
        <v>0.10302901307650358</v>
      </c>
    </row>
    <row r="71" spans="3:4" x14ac:dyDescent="0.2">
      <c r="C71" t="s">
        <v>82</v>
      </c>
      <c r="D71" s="2">
        <v>0.16983097693207186</v>
      </c>
    </row>
    <row r="72" spans="3:4" x14ac:dyDescent="0.2">
      <c r="C72" t="s">
        <v>83</v>
      </c>
      <c r="D72" s="2">
        <v>1.1100430891614188</v>
      </c>
    </row>
    <row r="73" spans="3:4" x14ac:dyDescent="0.2">
      <c r="C73" t="s">
        <v>84</v>
      </c>
      <c r="D73" s="2">
        <v>0.62756823968263409</v>
      </c>
    </row>
    <row r="74" spans="3:4" x14ac:dyDescent="0.2">
      <c r="C74" t="s">
        <v>85</v>
      </c>
      <c r="D74" s="2">
        <v>0.13911678675893549</v>
      </c>
    </row>
    <row r="75" spans="3:4" x14ac:dyDescent="0.2">
      <c r="C75" t="s">
        <v>86</v>
      </c>
      <c r="D75" s="2">
        <v>0.1795497901564288</v>
      </c>
    </row>
    <row r="76" spans="3:4" x14ac:dyDescent="0.2">
      <c r="C76" t="s">
        <v>87</v>
      </c>
      <c r="D76" s="2">
        <v>1.5419206770422433</v>
      </c>
    </row>
    <row r="77" spans="3:4" x14ac:dyDescent="0.2">
      <c r="C77" t="s">
        <v>88</v>
      </c>
      <c r="D77" s="2">
        <v>0.59855421686747046</v>
      </c>
    </row>
    <row r="78" spans="3:4" x14ac:dyDescent="0.2">
      <c r="C78" t="s">
        <v>89</v>
      </c>
      <c r="D78" s="2">
        <v>0.15256797583081588</v>
      </c>
    </row>
    <row r="79" spans="3:4" x14ac:dyDescent="0.2">
      <c r="C79" t="s">
        <v>90</v>
      </c>
      <c r="D79" s="2">
        <v>0.2998549463301417</v>
      </c>
    </row>
    <row r="80" spans="3:4" x14ac:dyDescent="0.2">
      <c r="C80" t="s">
        <v>91</v>
      </c>
      <c r="D80" s="2">
        <v>0.94861312210771442</v>
      </c>
    </row>
    <row r="81" spans="3:4" x14ac:dyDescent="0.2">
      <c r="C81" t="s">
        <v>92</v>
      </c>
      <c r="D81" s="2">
        <v>1.0110794988236589</v>
      </c>
    </row>
    <row r="82" spans="3:4" x14ac:dyDescent="0.2">
      <c r="C82" t="s">
        <v>93</v>
      </c>
      <c r="D82" s="2">
        <v>0.19365188495473848</v>
      </c>
    </row>
    <row r="83" spans="3:4" x14ac:dyDescent="0.2">
      <c r="C83" t="s">
        <v>94</v>
      </c>
      <c r="D83" s="2">
        <v>0.14862666983424974</v>
      </c>
    </row>
    <row r="84" spans="3:4" x14ac:dyDescent="0.2">
      <c r="C84" t="s">
        <v>95</v>
      </c>
      <c r="D84" s="2">
        <v>0.75412327075880858</v>
      </c>
    </row>
    <row r="85" spans="3:4" x14ac:dyDescent="0.2">
      <c r="C85" t="s">
        <v>96</v>
      </c>
      <c r="D85" s="2">
        <v>0.48147284695556775</v>
      </c>
    </row>
    <row r="99" spans="3:22" x14ac:dyDescent="0.2">
      <c r="C99" t="s">
        <v>41</v>
      </c>
      <c r="D99" t="s">
        <v>14</v>
      </c>
      <c r="F99" t="s">
        <v>41</v>
      </c>
      <c r="G99" t="s">
        <v>14</v>
      </c>
      <c r="I99" t="s">
        <v>41</v>
      </c>
      <c r="J99" t="s">
        <v>14</v>
      </c>
      <c r="L99" t="s">
        <v>41</v>
      </c>
      <c r="M99" t="s">
        <v>14</v>
      </c>
      <c r="O99" t="s">
        <v>41</v>
      </c>
      <c r="P99" t="s">
        <v>14</v>
      </c>
      <c r="R99" t="s">
        <v>41</v>
      </c>
      <c r="S99" t="s">
        <v>14</v>
      </c>
      <c r="U99" t="s">
        <v>41</v>
      </c>
      <c r="V99" t="s">
        <v>14</v>
      </c>
    </row>
    <row r="100" spans="3:22" x14ac:dyDescent="0.2">
      <c r="C100" t="s">
        <v>43</v>
      </c>
      <c r="D100">
        <v>1.7697524307541897E-2</v>
      </c>
      <c r="F100" s="6" t="s">
        <v>47</v>
      </c>
      <c r="G100" s="7">
        <v>0.13038576145606826</v>
      </c>
      <c r="I100" s="6" t="s">
        <v>51</v>
      </c>
      <c r="J100" s="7">
        <v>0.22529384726508733</v>
      </c>
      <c r="L100" s="6" t="s">
        <v>55</v>
      </c>
      <c r="M100" s="7">
        <v>7.4948472924822671E-4</v>
      </c>
      <c r="O100" s="6" t="s">
        <v>59</v>
      </c>
      <c r="P100" s="7">
        <v>0.64281549354435552</v>
      </c>
      <c r="R100" s="6" t="s">
        <v>35</v>
      </c>
      <c r="S100" s="7">
        <v>0.13233098192677989</v>
      </c>
      <c r="U100" s="6" t="s">
        <v>39</v>
      </c>
      <c r="V100" s="7">
        <v>5.686727959839806E-2</v>
      </c>
    </row>
    <row r="101" spans="3:22" x14ac:dyDescent="0.2">
      <c r="C101" t="s">
        <v>44</v>
      </c>
      <c r="D101">
        <v>0.34290814670561465</v>
      </c>
      <c r="F101" s="3" t="s">
        <v>48</v>
      </c>
      <c r="G101" s="8">
        <v>0.2228346456692924</v>
      </c>
      <c r="I101" s="3" t="s">
        <v>52</v>
      </c>
      <c r="J101" s="8">
        <v>0.34420848127554021</v>
      </c>
      <c r="L101" s="3" t="s">
        <v>56</v>
      </c>
      <c r="M101" s="8">
        <v>0.10737937559129533</v>
      </c>
      <c r="O101" s="3" t="s">
        <v>60</v>
      </c>
      <c r="P101" s="8">
        <v>0.23414942452265361</v>
      </c>
      <c r="R101" s="3" t="s">
        <v>36</v>
      </c>
      <c r="S101" s="8">
        <v>0.10097795715616249</v>
      </c>
    </row>
    <row r="102" spans="3:22" x14ac:dyDescent="0.2">
      <c r="C102" t="s">
        <v>45</v>
      </c>
      <c r="D102">
        <v>2.252629814341395</v>
      </c>
      <c r="F102" s="6" t="s">
        <v>49</v>
      </c>
      <c r="G102" s="7">
        <v>1.4216101694915253</v>
      </c>
      <c r="I102" s="6" t="s">
        <v>53</v>
      </c>
      <c r="J102" s="7">
        <v>1.1442783478306151</v>
      </c>
      <c r="L102" s="6" t="s">
        <v>57</v>
      </c>
      <c r="M102" s="7">
        <v>0.38250950570342213</v>
      </c>
      <c r="O102" s="6" t="s">
        <v>61</v>
      </c>
      <c r="P102" s="7">
        <v>3.6438141639115975</v>
      </c>
      <c r="R102" s="6" t="s">
        <v>37</v>
      </c>
      <c r="S102" s="7">
        <v>0.28172848648530935</v>
      </c>
    </row>
    <row r="103" spans="3:22" x14ac:dyDescent="0.2">
      <c r="C103" t="s">
        <v>46</v>
      </c>
      <c r="D103">
        <v>1.3960609911054636</v>
      </c>
      <c r="F103" s="3" t="s">
        <v>50</v>
      </c>
      <c r="G103" s="8">
        <v>13.888268156424367</v>
      </c>
      <c r="I103" s="3" t="s">
        <v>54</v>
      </c>
      <c r="J103" s="8">
        <v>0.84109160358038648</v>
      </c>
      <c r="L103" s="3" t="s">
        <v>58</v>
      </c>
      <c r="M103" s="8">
        <v>0.56027293404094058</v>
      </c>
      <c r="O103" s="3" t="s">
        <v>62</v>
      </c>
      <c r="P103" s="8">
        <v>3.0686219214138069</v>
      </c>
      <c r="R103" s="11" t="s">
        <v>38</v>
      </c>
      <c r="S103" s="12">
        <v>0.22635674136619144</v>
      </c>
    </row>
    <row r="104" spans="3:22" x14ac:dyDescent="0.2">
      <c r="C104" t="s">
        <v>63</v>
      </c>
      <c r="D104">
        <v>0.13650733032058215</v>
      </c>
      <c r="F104" s="6" t="s">
        <v>64</v>
      </c>
      <c r="G104" s="7">
        <v>0.23431850668460419</v>
      </c>
      <c r="I104" s="6" t="s">
        <v>68</v>
      </c>
      <c r="J104" s="7">
        <v>0.17868536688135792</v>
      </c>
      <c r="L104" s="9" t="s">
        <v>72</v>
      </c>
      <c r="M104" s="7">
        <v>0.1376464926682896</v>
      </c>
      <c r="O104" s="9" t="s">
        <v>77</v>
      </c>
      <c r="P104" s="7">
        <v>0.12161798719810642</v>
      </c>
    </row>
    <row r="105" spans="3:22" x14ac:dyDescent="0.2">
      <c r="C105" t="s">
        <v>15</v>
      </c>
      <c r="D105">
        <v>0.31140145301148364</v>
      </c>
      <c r="F105" s="3" t="s">
        <v>65</v>
      </c>
      <c r="G105" s="8">
        <v>0.10114068441064625</v>
      </c>
      <c r="I105" s="3" t="s">
        <v>69</v>
      </c>
      <c r="J105" s="8">
        <v>0.13302862197976409</v>
      </c>
      <c r="L105" s="10" t="s">
        <v>73</v>
      </c>
      <c r="M105" s="8">
        <v>0.10880919496436017</v>
      </c>
      <c r="O105" s="10" t="s">
        <v>78</v>
      </c>
      <c r="P105" s="8">
        <v>0.11826900705736416</v>
      </c>
    </row>
    <row r="106" spans="3:22" x14ac:dyDescent="0.2">
      <c r="C106" t="s">
        <v>16</v>
      </c>
      <c r="D106">
        <v>0.15319362950544796</v>
      </c>
      <c r="F106" s="6" t="s">
        <v>66</v>
      </c>
      <c r="G106" s="7">
        <v>1.3851839020728687</v>
      </c>
      <c r="I106" s="6" t="s">
        <v>70</v>
      </c>
      <c r="J106" s="7">
        <v>0.79623510387738572</v>
      </c>
      <c r="L106" s="9" t="s">
        <v>74</v>
      </c>
      <c r="M106" s="7">
        <v>0.88165742076535292</v>
      </c>
      <c r="O106" s="9" t="s">
        <v>79</v>
      </c>
      <c r="P106" s="7">
        <v>0.58870783956244266</v>
      </c>
    </row>
    <row r="107" spans="3:22" x14ac:dyDescent="0.2">
      <c r="C107" t="s">
        <v>17</v>
      </c>
      <c r="D107">
        <v>0.62614902130420658</v>
      </c>
      <c r="F107" s="3" t="s">
        <v>67</v>
      </c>
      <c r="G107" s="8">
        <v>1.0887038750128482</v>
      </c>
      <c r="I107" s="3" t="s">
        <v>71</v>
      </c>
      <c r="J107" s="8">
        <v>0.35820558042780259</v>
      </c>
      <c r="L107" s="10" t="s">
        <v>75</v>
      </c>
      <c r="M107" s="8">
        <v>0.90199320780213765</v>
      </c>
      <c r="O107" s="10" t="s">
        <v>80</v>
      </c>
      <c r="P107" s="8">
        <v>0.47540491901619597</v>
      </c>
    </row>
    <row r="108" spans="3:22" x14ac:dyDescent="0.2">
      <c r="C108" t="s">
        <v>18</v>
      </c>
      <c r="D108">
        <v>0.46561668145519097</v>
      </c>
      <c r="F108" s="6" t="s">
        <v>19</v>
      </c>
      <c r="G108" s="7">
        <v>0.12969058591178467</v>
      </c>
      <c r="I108" s="6" t="s">
        <v>23</v>
      </c>
      <c r="J108" s="7">
        <v>2.2550207756232721E-2</v>
      </c>
      <c r="L108" s="6" t="s">
        <v>27</v>
      </c>
      <c r="M108" s="7">
        <v>9.711444285391517E-2</v>
      </c>
      <c r="O108" s="6" t="s">
        <v>31</v>
      </c>
      <c r="P108" s="7">
        <v>3.3421114924842982E-2</v>
      </c>
    </row>
    <row r="109" spans="3:22" x14ac:dyDescent="0.2">
      <c r="C109" t="s">
        <v>81</v>
      </c>
      <c r="D109">
        <v>0.10302901307650358</v>
      </c>
      <c r="F109" s="3" t="s">
        <v>20</v>
      </c>
      <c r="G109" s="8">
        <v>0.26792486906266927</v>
      </c>
      <c r="I109" s="3" t="s">
        <v>24</v>
      </c>
      <c r="J109" s="8">
        <v>6.6434363500172391E-3</v>
      </c>
      <c r="L109" s="3" t="s">
        <v>28</v>
      </c>
      <c r="M109" s="8">
        <v>0.1202988369131506</v>
      </c>
      <c r="O109" s="3" t="s">
        <v>32</v>
      </c>
      <c r="P109" s="8">
        <v>5.7685846283074035E-2</v>
      </c>
    </row>
    <row r="110" spans="3:22" x14ac:dyDescent="0.2">
      <c r="C110" t="s">
        <v>82</v>
      </c>
      <c r="D110">
        <v>0.16983097693207186</v>
      </c>
      <c r="F110" s="6" t="s">
        <v>21</v>
      </c>
      <c r="G110" s="7">
        <v>0.32675930076199</v>
      </c>
      <c r="I110" s="6" t="s">
        <v>25</v>
      </c>
      <c r="J110" s="7">
        <v>0.38804816965950872</v>
      </c>
      <c r="L110" s="6" t="s">
        <v>29</v>
      </c>
      <c r="M110" s="7">
        <v>0.19778243193298051</v>
      </c>
      <c r="O110" s="6" t="s">
        <v>33</v>
      </c>
      <c r="P110" s="7">
        <v>0.37865837865837859</v>
      </c>
    </row>
    <row r="111" spans="3:22" x14ac:dyDescent="0.2">
      <c r="C111" t="s">
        <v>83</v>
      </c>
      <c r="D111">
        <v>1.1100430891614188</v>
      </c>
      <c r="F111" s="3" t="s">
        <v>22</v>
      </c>
      <c r="G111" s="8">
        <v>0.39823163486405289</v>
      </c>
      <c r="I111" s="3" t="s">
        <v>26</v>
      </c>
      <c r="J111" s="8">
        <v>0.29437510833766722</v>
      </c>
      <c r="L111" s="3" t="s">
        <v>30</v>
      </c>
      <c r="M111" s="8">
        <v>0.12109633119774763</v>
      </c>
      <c r="O111" s="11" t="s">
        <v>34</v>
      </c>
      <c r="P111" s="12">
        <v>0.3321198701469294</v>
      </c>
    </row>
    <row r="112" spans="3:22" x14ac:dyDescent="0.2">
      <c r="C112" t="s">
        <v>84</v>
      </c>
      <c r="D112">
        <v>0.62756823968263409</v>
      </c>
      <c r="F112" s="6" t="s">
        <v>85</v>
      </c>
      <c r="G112" s="7">
        <v>0.13911678675893549</v>
      </c>
      <c r="I112" s="6" t="s">
        <v>89</v>
      </c>
      <c r="J112" s="7">
        <v>0.15256797583081588</v>
      </c>
      <c r="L112" s="6" t="s">
        <v>93</v>
      </c>
      <c r="M112" s="7">
        <v>0.19365188495473848</v>
      </c>
    </row>
    <row r="113" spans="6:13" x14ac:dyDescent="0.2">
      <c r="F113" s="3" t="s">
        <v>86</v>
      </c>
      <c r="G113" s="8">
        <v>0.1795497901564288</v>
      </c>
      <c r="I113" s="3" t="s">
        <v>90</v>
      </c>
      <c r="J113" s="8">
        <v>0.2998549463301417</v>
      </c>
      <c r="L113" s="3" t="s">
        <v>94</v>
      </c>
      <c r="M113" s="8">
        <v>0.14862666983424974</v>
      </c>
    </row>
    <row r="114" spans="6:13" x14ac:dyDescent="0.2">
      <c r="F114" s="6" t="s">
        <v>87</v>
      </c>
      <c r="G114" s="7">
        <v>1.5419206770422433</v>
      </c>
      <c r="I114" s="6" t="s">
        <v>91</v>
      </c>
      <c r="J114" s="7">
        <v>0.94861312210771442</v>
      </c>
      <c r="L114" s="6" t="s">
        <v>95</v>
      </c>
      <c r="M114" s="7">
        <v>0.75412327075880858</v>
      </c>
    </row>
    <row r="115" spans="6:13" x14ac:dyDescent="0.2">
      <c r="F115" s="11" t="s">
        <v>88</v>
      </c>
      <c r="G115" s="12">
        <v>0.59855421686747046</v>
      </c>
      <c r="I115" s="11" t="s">
        <v>92</v>
      </c>
      <c r="J115" s="12">
        <v>1.0110794988236589</v>
      </c>
      <c r="L115" s="11" t="s">
        <v>96</v>
      </c>
      <c r="M115" s="12">
        <v>0.48147284695556775</v>
      </c>
    </row>
  </sheetData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2022-10-08T03:37:13Z</dcterms:created>
  <dcterms:modified xsi:type="dcterms:W3CDTF">2023-05-31T04:44:29Z</dcterms:modified>
</cp:coreProperties>
</file>